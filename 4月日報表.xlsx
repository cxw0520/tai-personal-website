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wuyiting/Desktop/ＴＡＩＤＵ/財務/"/>
    </mc:Choice>
  </mc:AlternateContent>
  <xr:revisionPtr revIDLastSave="0" documentId="13_ncr:1_{AB6C2232-4A03-DE44-8B9F-B209CF4C4011}" xr6:coauthVersionLast="47" xr6:coauthVersionMax="47" xr10:uidLastSave="{00000000-0000-0000-0000-000000000000}"/>
  <bookViews>
    <workbookView xWindow="0" yWindow="600" windowWidth="28800" windowHeight="16220" activeTab="10" xr2:uid="{B469F7C4-40DA-0944-AC58-E3B65AD4DAFE}"/>
  </bookViews>
  <sheets>
    <sheet name="月報表" sheetId="36" r:id="rId1"/>
    <sheet name="1" sheetId="2" r:id="rId2"/>
    <sheet name="2" sheetId="85" r:id="rId3"/>
    <sheet name="3" sheetId="39" r:id="rId4"/>
    <sheet name="4" sheetId="56" r:id="rId5"/>
    <sheet name="5" sheetId="57" r:id="rId6"/>
    <sheet name="6" sheetId="58" r:id="rId7"/>
    <sheet name="7" sheetId="59" r:id="rId8"/>
    <sheet name="8" sheetId="60" r:id="rId9"/>
    <sheet name="9" sheetId="61" r:id="rId10"/>
    <sheet name="10" sheetId="62" r:id="rId11"/>
    <sheet name="11" sheetId="63" r:id="rId12"/>
    <sheet name="12" sheetId="64" r:id="rId13"/>
    <sheet name="13" sheetId="65" r:id="rId14"/>
    <sheet name="14" sheetId="66" r:id="rId15"/>
    <sheet name="15" sheetId="67" r:id="rId16"/>
    <sheet name="16" sheetId="68" r:id="rId17"/>
    <sheet name="17" sheetId="69" r:id="rId18"/>
    <sheet name="18" sheetId="70" r:id="rId19"/>
    <sheet name="19" sheetId="72" r:id="rId20"/>
    <sheet name="20" sheetId="73" r:id="rId21"/>
    <sheet name="21" sheetId="74" r:id="rId22"/>
    <sheet name="22" sheetId="75" r:id="rId23"/>
    <sheet name="23" sheetId="76" r:id="rId24"/>
    <sheet name="24" sheetId="77" r:id="rId25"/>
    <sheet name="25" sheetId="78" r:id="rId26"/>
    <sheet name="26" sheetId="79" r:id="rId27"/>
    <sheet name="27" sheetId="80" r:id="rId28"/>
    <sheet name="28" sheetId="81" r:id="rId29"/>
    <sheet name="29" sheetId="82" r:id="rId30"/>
    <sheet name="30" sheetId="83" r:id="rId31"/>
    <sheet name="31" sheetId="84" r:id="rId32"/>
  </sheets>
  <externalReferences>
    <externalReference r:id="rId33"/>
  </externalReferences>
  <definedNames>
    <definedName name="日期清單">月報表!$A$118:$A$148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5" i="85" l="1"/>
  <c r="Z25" i="39"/>
  <c r="Z25" i="56"/>
  <c r="Z25" i="57"/>
  <c r="Z25" i="58"/>
  <c r="Z25" i="59"/>
  <c r="Z25" i="60"/>
  <c r="Z25" i="61"/>
  <c r="Z25" i="62"/>
  <c r="Z25" i="63"/>
  <c r="Z25" i="64"/>
  <c r="Z25" i="65"/>
  <c r="Z25" i="66"/>
  <c r="Z25" i="67"/>
  <c r="Z25" i="68"/>
  <c r="Z25" i="69"/>
  <c r="Z25" i="70"/>
  <c r="Z25" i="72"/>
  <c r="Z25" i="73"/>
  <c r="Z25" i="74"/>
  <c r="Z25" i="75"/>
  <c r="Z25" i="76"/>
  <c r="Z25" i="77"/>
  <c r="Z25" i="78"/>
  <c r="Z25" i="79"/>
  <c r="Z25" i="80"/>
  <c r="Z25" i="81"/>
  <c r="Z25" i="82"/>
  <c r="Z25" i="83"/>
  <c r="Z25" i="84"/>
  <c r="Z25" i="2"/>
  <c r="T21" i="85"/>
  <c r="T21" i="39"/>
  <c r="T21" i="56"/>
  <c r="T21" i="57"/>
  <c r="T21" i="58"/>
  <c r="T21" i="59"/>
  <c r="T21" i="60"/>
  <c r="T21" i="61"/>
  <c r="T21" i="62"/>
  <c r="T21" i="63"/>
  <c r="T21" i="64"/>
  <c r="T21" i="65"/>
  <c r="T21" i="66"/>
  <c r="T21" i="67"/>
  <c r="T21" i="68"/>
  <c r="T21" i="69"/>
  <c r="T21" i="70"/>
  <c r="T21" i="72"/>
  <c r="T21" i="73"/>
  <c r="T21" i="74"/>
  <c r="T21" i="75"/>
  <c r="T21" i="76"/>
  <c r="T21" i="77"/>
  <c r="T21" i="78"/>
  <c r="T21" i="79"/>
  <c r="T21" i="80"/>
  <c r="T21" i="81"/>
  <c r="T21" i="82"/>
  <c r="T21" i="83"/>
  <c r="T21" i="84"/>
  <c r="T21" i="2"/>
  <c r="T23" i="61"/>
  <c r="T20" i="61"/>
  <c r="K18" i="59"/>
  <c r="N18" i="59" s="1"/>
  <c r="K101" i="60"/>
  <c r="K100" i="60"/>
  <c r="K99" i="60"/>
  <c r="K98" i="60"/>
  <c r="K97" i="60"/>
  <c r="K96" i="60"/>
  <c r="K95" i="60"/>
  <c r="K94" i="60"/>
  <c r="K93" i="60"/>
  <c r="K92" i="60"/>
  <c r="K91" i="60"/>
  <c r="K90" i="60"/>
  <c r="K89" i="60"/>
  <c r="K88" i="60"/>
  <c r="K87" i="60"/>
  <c r="K86" i="60"/>
  <c r="K85" i="60"/>
  <c r="K84" i="60"/>
  <c r="K83" i="60"/>
  <c r="K82" i="60"/>
  <c r="K81" i="60"/>
  <c r="K80" i="60"/>
  <c r="K79" i="60"/>
  <c r="K78" i="60"/>
  <c r="K77" i="60"/>
  <c r="K76" i="60"/>
  <c r="K75" i="60"/>
  <c r="K74" i="60"/>
  <c r="K73" i="60"/>
  <c r="K72" i="60"/>
  <c r="K71" i="60"/>
  <c r="K70" i="60"/>
  <c r="K69" i="60"/>
  <c r="K68" i="60"/>
  <c r="K67" i="60"/>
  <c r="K66" i="60"/>
  <c r="K65" i="60"/>
  <c r="K64" i="60"/>
  <c r="K63" i="60"/>
  <c r="K62" i="60"/>
  <c r="K61" i="60"/>
  <c r="K60" i="60"/>
  <c r="K59" i="60"/>
  <c r="K58" i="60"/>
  <c r="K57" i="60"/>
  <c r="K56" i="60"/>
  <c r="K55" i="60"/>
  <c r="K54" i="60"/>
  <c r="K53" i="60"/>
  <c r="K52" i="60"/>
  <c r="K51" i="60"/>
  <c r="K50" i="60"/>
  <c r="K49" i="60"/>
  <c r="K48" i="60"/>
  <c r="K47" i="60"/>
  <c r="K46" i="60"/>
  <c r="K45" i="60"/>
  <c r="K44" i="60"/>
  <c r="K43" i="60"/>
  <c r="K42" i="60"/>
  <c r="K41" i="60"/>
  <c r="K40" i="60"/>
  <c r="K39" i="60"/>
  <c r="K38" i="60"/>
  <c r="K37" i="60"/>
  <c r="K36" i="60"/>
  <c r="K35" i="60"/>
  <c r="K34" i="60"/>
  <c r="K33" i="60"/>
  <c r="K32" i="60"/>
  <c r="K31" i="60"/>
  <c r="K30" i="60"/>
  <c r="K29" i="60"/>
  <c r="K28" i="60"/>
  <c r="K27" i="60"/>
  <c r="K26" i="60"/>
  <c r="K25" i="60"/>
  <c r="K24" i="60"/>
  <c r="K23" i="60"/>
  <c r="K22" i="60"/>
  <c r="K21" i="60"/>
  <c r="K20" i="60"/>
  <c r="K19" i="60"/>
  <c r="K18" i="60"/>
  <c r="K17" i="60"/>
  <c r="K16" i="60"/>
  <c r="K15" i="60"/>
  <c r="K14" i="60"/>
  <c r="K13" i="60"/>
  <c r="N13" i="60" s="1"/>
  <c r="K12" i="60"/>
  <c r="K11" i="60"/>
  <c r="K10" i="60"/>
  <c r="K9" i="60"/>
  <c r="K8" i="60"/>
  <c r="AC9" i="39" a="1"/>
  <c r="AC9" i="39" s="1"/>
  <c r="K9" i="62"/>
  <c r="N9" i="62" s="1"/>
  <c r="R10" i="58" l="1"/>
  <c r="D25" i="36"/>
  <c r="D26" i="36"/>
  <c r="D27" i="36"/>
  <c r="D28" i="36"/>
  <c r="V33" i="58" l="1"/>
  <c r="V36" i="58"/>
  <c r="K19" i="58"/>
  <c r="K76" i="36" l="1"/>
  <c r="K74" i="36"/>
  <c r="K75" i="36"/>
  <c r="K73" i="36"/>
  <c r="L64" i="36" a="1"/>
  <c r="N64" i="36" a="1"/>
  <c r="M64" i="36" a="1"/>
  <c r="K64" i="36" a="1"/>
  <c r="N64" i="36" l="1"/>
  <c r="M64" i="36"/>
  <c r="K64" i="36"/>
  <c r="L64" i="36"/>
  <c r="L76" i="36" s="1"/>
  <c r="M76" i="36" s="1"/>
  <c r="Q24" i="36" s="1"/>
  <c r="L62" i="36" a="1"/>
  <c r="M60" i="36" a="1"/>
  <c r="N62" i="36" a="1"/>
  <c r="N60" i="36" a="1"/>
  <c r="K62" i="36" a="1"/>
  <c r="K60" i="36" a="1"/>
  <c r="L60" i="36" a="1"/>
  <c r="M62" i="36" a="1"/>
  <c r="O64" i="36" l="1"/>
  <c r="C41" i="36" s="1"/>
  <c r="N62" i="36"/>
  <c r="M62" i="36"/>
  <c r="K62" i="36"/>
  <c r="L62" i="36"/>
  <c r="L75" i="36" s="1"/>
  <c r="M75" i="36" s="1"/>
  <c r="Q23" i="36" s="1"/>
  <c r="N60" i="36"/>
  <c r="M60" i="36"/>
  <c r="K60" i="36"/>
  <c r="L60" i="36"/>
  <c r="L74" i="36" s="1"/>
  <c r="M74" i="36" s="1"/>
  <c r="Q22" i="36" s="1"/>
  <c r="N58" i="36" a="1"/>
  <c r="K58" i="36" a="1"/>
  <c r="L58" i="36" a="1"/>
  <c r="M58" i="36" a="1"/>
  <c r="O62" i="36" l="1"/>
  <c r="C40" i="36" s="1"/>
  <c r="O60" i="36"/>
  <c r="N58" i="36"/>
  <c r="N66" i="36" s="1"/>
  <c r="M58" i="36"/>
  <c r="M66" i="36" s="1"/>
  <c r="K58" i="36"/>
  <c r="K66" i="36" s="1"/>
  <c r="L58" i="36"/>
  <c r="U27" i="85"/>
  <c r="U27" i="39"/>
  <c r="U27" i="56"/>
  <c r="U27" i="57"/>
  <c r="U27" i="58"/>
  <c r="U27" i="59"/>
  <c r="U27" i="60"/>
  <c r="U27" i="61"/>
  <c r="U27" i="62"/>
  <c r="U27" i="63"/>
  <c r="U27" i="64"/>
  <c r="U27" i="65"/>
  <c r="U27" i="66"/>
  <c r="U27" i="67"/>
  <c r="U27" i="68"/>
  <c r="U27" i="69"/>
  <c r="U27" i="70"/>
  <c r="U27" i="72"/>
  <c r="U27" i="73"/>
  <c r="U27" i="74"/>
  <c r="U27" i="75"/>
  <c r="U27" i="76"/>
  <c r="U27" i="77"/>
  <c r="U27" i="78"/>
  <c r="U27" i="79"/>
  <c r="U27" i="80"/>
  <c r="U27" i="81"/>
  <c r="U27" i="82"/>
  <c r="U27" i="83"/>
  <c r="U27" i="84"/>
  <c r="U27" i="2"/>
  <c r="U25" i="85"/>
  <c r="U25" i="39"/>
  <c r="U25" i="56"/>
  <c r="U25" i="57"/>
  <c r="U25" i="58"/>
  <c r="U25" i="59"/>
  <c r="U25" i="60"/>
  <c r="U25" i="61"/>
  <c r="U25" i="62"/>
  <c r="U25" i="63"/>
  <c r="U25" i="64"/>
  <c r="U25" i="65"/>
  <c r="U25" i="66"/>
  <c r="U25" i="67"/>
  <c r="U25" i="68"/>
  <c r="U25" i="69"/>
  <c r="U25" i="70"/>
  <c r="U25" i="72"/>
  <c r="U25" i="73"/>
  <c r="U25" i="74"/>
  <c r="U25" i="75"/>
  <c r="U25" i="76"/>
  <c r="U25" i="77"/>
  <c r="U25" i="78"/>
  <c r="U25" i="79"/>
  <c r="U25" i="80"/>
  <c r="U25" i="81"/>
  <c r="U25" i="82"/>
  <c r="U25" i="83"/>
  <c r="U25" i="84"/>
  <c r="U25" i="2"/>
  <c r="U26" i="85"/>
  <c r="U26" i="39"/>
  <c r="U26" i="56"/>
  <c r="U26" i="57"/>
  <c r="U26" i="58"/>
  <c r="U26" i="59"/>
  <c r="U26" i="60"/>
  <c r="U26" i="61"/>
  <c r="U26" i="62"/>
  <c r="U26" i="63"/>
  <c r="U26" i="64"/>
  <c r="U26" i="65"/>
  <c r="U26" i="66"/>
  <c r="U26" i="67"/>
  <c r="U26" i="68"/>
  <c r="U26" i="69"/>
  <c r="U26" i="70"/>
  <c r="U26" i="72"/>
  <c r="U26" i="73"/>
  <c r="U26" i="74"/>
  <c r="U26" i="75"/>
  <c r="U26" i="76"/>
  <c r="U26" i="77"/>
  <c r="U26" i="78"/>
  <c r="U26" i="79"/>
  <c r="U26" i="80"/>
  <c r="U26" i="81"/>
  <c r="U26" i="82"/>
  <c r="U26" i="83"/>
  <c r="U26" i="84"/>
  <c r="U26" i="2"/>
  <c r="U24" i="85"/>
  <c r="U24" i="39"/>
  <c r="U24" i="56"/>
  <c r="U24" i="57"/>
  <c r="U24" i="58"/>
  <c r="U24" i="59"/>
  <c r="U24" i="60"/>
  <c r="U24" i="61"/>
  <c r="U24" i="62"/>
  <c r="U24" i="63"/>
  <c r="U24" i="64"/>
  <c r="U24" i="65"/>
  <c r="U24" i="66"/>
  <c r="U24" i="67"/>
  <c r="U24" i="68"/>
  <c r="U24" i="69"/>
  <c r="U24" i="70"/>
  <c r="U24" i="72"/>
  <c r="U24" i="73"/>
  <c r="U24" i="74"/>
  <c r="U24" i="75"/>
  <c r="U24" i="76"/>
  <c r="U24" i="77"/>
  <c r="U24" i="78"/>
  <c r="U24" i="79"/>
  <c r="U24" i="80"/>
  <c r="U24" i="81"/>
  <c r="U24" i="82"/>
  <c r="U24" i="83"/>
  <c r="U24" i="84"/>
  <c r="U24" i="2"/>
  <c r="U23" i="85"/>
  <c r="U23" i="39"/>
  <c r="U23" i="56"/>
  <c r="U23" i="57"/>
  <c r="U23" i="58"/>
  <c r="U23" i="59"/>
  <c r="U23" i="60"/>
  <c r="U23" i="61"/>
  <c r="U23" i="62"/>
  <c r="U23" i="63"/>
  <c r="U23" i="64"/>
  <c r="U23" i="65"/>
  <c r="U23" i="66"/>
  <c r="U23" i="67"/>
  <c r="U23" i="68"/>
  <c r="U23" i="69"/>
  <c r="U23" i="70"/>
  <c r="U23" i="72"/>
  <c r="U23" i="73"/>
  <c r="U23" i="74"/>
  <c r="U23" i="75"/>
  <c r="U23" i="76"/>
  <c r="U23" i="77"/>
  <c r="U23" i="78"/>
  <c r="U23" i="79"/>
  <c r="U23" i="80"/>
  <c r="U23" i="81"/>
  <c r="U23" i="82"/>
  <c r="U23" i="83"/>
  <c r="U23" i="84"/>
  <c r="U23" i="2"/>
  <c r="U22" i="85"/>
  <c r="U22" i="39"/>
  <c r="U22" i="56"/>
  <c r="U22" i="57"/>
  <c r="U22" i="58"/>
  <c r="U22" i="59"/>
  <c r="U22" i="60"/>
  <c r="U22" i="61"/>
  <c r="U22" i="62"/>
  <c r="U22" i="63"/>
  <c r="U22" i="64"/>
  <c r="U22" i="65"/>
  <c r="U22" i="66"/>
  <c r="U22" i="67"/>
  <c r="U22" i="68"/>
  <c r="U22" i="69"/>
  <c r="U22" i="70"/>
  <c r="U22" i="72"/>
  <c r="U22" i="73"/>
  <c r="U22" i="74"/>
  <c r="U22" i="75"/>
  <c r="U22" i="76"/>
  <c r="U22" i="77"/>
  <c r="U22" i="78"/>
  <c r="U22" i="79"/>
  <c r="U22" i="80"/>
  <c r="U22" i="81"/>
  <c r="U22" i="82"/>
  <c r="U22" i="83"/>
  <c r="U22" i="84"/>
  <c r="U22" i="2"/>
  <c r="U21" i="85"/>
  <c r="U21" i="39"/>
  <c r="U21" i="56"/>
  <c r="U21" i="57"/>
  <c r="U21" i="58"/>
  <c r="U21" i="59"/>
  <c r="U21" i="60"/>
  <c r="U21" i="61"/>
  <c r="U21" i="62"/>
  <c r="U21" i="63"/>
  <c r="U21" i="64"/>
  <c r="U21" i="65"/>
  <c r="U21" i="66"/>
  <c r="U21" i="67"/>
  <c r="U21" i="68"/>
  <c r="U21" i="69"/>
  <c r="U21" i="70"/>
  <c r="U21" i="72"/>
  <c r="U21" i="73"/>
  <c r="U21" i="74"/>
  <c r="U21" i="75"/>
  <c r="U21" i="76"/>
  <c r="U21" i="77"/>
  <c r="U21" i="78"/>
  <c r="U21" i="79"/>
  <c r="U21" i="80"/>
  <c r="U21" i="81"/>
  <c r="U21" i="82"/>
  <c r="U21" i="83"/>
  <c r="U21" i="84"/>
  <c r="U21" i="2"/>
  <c r="U20" i="85"/>
  <c r="U20" i="39"/>
  <c r="U20" i="56"/>
  <c r="U20" i="57"/>
  <c r="U20" i="58"/>
  <c r="U20" i="59"/>
  <c r="U20" i="60"/>
  <c r="U20" i="61"/>
  <c r="U20" i="62"/>
  <c r="U20" i="63"/>
  <c r="U20" i="64"/>
  <c r="U20" i="65"/>
  <c r="U20" i="66"/>
  <c r="U20" i="67"/>
  <c r="U20" i="68"/>
  <c r="U20" i="69"/>
  <c r="U20" i="70"/>
  <c r="U20" i="72"/>
  <c r="U20" i="73"/>
  <c r="U20" i="74"/>
  <c r="U20" i="75"/>
  <c r="U20" i="76"/>
  <c r="U20" i="77"/>
  <c r="U20" i="78"/>
  <c r="U20" i="79"/>
  <c r="U20" i="80"/>
  <c r="U20" i="81"/>
  <c r="U20" i="82"/>
  <c r="U20" i="83"/>
  <c r="U20" i="84"/>
  <c r="U20" i="2"/>
  <c r="U19" i="85"/>
  <c r="U19" i="39"/>
  <c r="U19" i="56"/>
  <c r="U19" i="57"/>
  <c r="U19" i="58"/>
  <c r="U19" i="59"/>
  <c r="U19" i="60"/>
  <c r="U19" i="61"/>
  <c r="U19" i="62"/>
  <c r="U19" i="63"/>
  <c r="U19" i="64"/>
  <c r="U19" i="65"/>
  <c r="U19" i="66"/>
  <c r="U19" i="67"/>
  <c r="U19" i="68"/>
  <c r="U19" i="69"/>
  <c r="U19" i="70"/>
  <c r="U19" i="72"/>
  <c r="U19" i="73"/>
  <c r="U19" i="74"/>
  <c r="U19" i="75"/>
  <c r="U19" i="76"/>
  <c r="U19" i="77"/>
  <c r="U19" i="78"/>
  <c r="U19" i="79"/>
  <c r="U19" i="80"/>
  <c r="U19" i="81"/>
  <c r="U19" i="82"/>
  <c r="U19" i="83"/>
  <c r="U19" i="84"/>
  <c r="U19" i="2"/>
  <c r="T27" i="85"/>
  <c r="T27" i="39"/>
  <c r="T27" i="56"/>
  <c r="T27" i="57"/>
  <c r="T27" i="58"/>
  <c r="T27" i="59"/>
  <c r="T27" i="60"/>
  <c r="T27" i="61"/>
  <c r="T27" i="62"/>
  <c r="T27" i="63"/>
  <c r="T27" i="64"/>
  <c r="T27" i="65"/>
  <c r="T27" i="66"/>
  <c r="T27" i="67"/>
  <c r="T27" i="68"/>
  <c r="T27" i="69"/>
  <c r="T27" i="70"/>
  <c r="T27" i="72"/>
  <c r="T27" i="73"/>
  <c r="T27" i="74"/>
  <c r="T27" i="75"/>
  <c r="T27" i="76"/>
  <c r="T27" i="77"/>
  <c r="T27" i="78"/>
  <c r="T27" i="79"/>
  <c r="T27" i="80"/>
  <c r="T27" i="81"/>
  <c r="T27" i="82"/>
  <c r="T27" i="83"/>
  <c r="T27" i="84"/>
  <c r="T27" i="2"/>
  <c r="T26" i="85"/>
  <c r="T26" i="39"/>
  <c r="T26" i="56"/>
  <c r="T26" i="57"/>
  <c r="T26" i="58"/>
  <c r="T26" i="59"/>
  <c r="T26" i="60"/>
  <c r="T26" i="61"/>
  <c r="T26" i="62"/>
  <c r="T26" i="63"/>
  <c r="T26" i="64"/>
  <c r="T26" i="65"/>
  <c r="T26" i="66"/>
  <c r="T26" i="67"/>
  <c r="T26" i="68"/>
  <c r="T26" i="69"/>
  <c r="T26" i="70"/>
  <c r="T26" i="72"/>
  <c r="T26" i="73"/>
  <c r="T26" i="74"/>
  <c r="T26" i="75"/>
  <c r="T26" i="76"/>
  <c r="T26" i="77"/>
  <c r="T26" i="78"/>
  <c r="T26" i="79"/>
  <c r="T26" i="80"/>
  <c r="T26" i="81"/>
  <c r="T26" i="82"/>
  <c r="T26" i="83"/>
  <c r="T26" i="84"/>
  <c r="T26" i="2"/>
  <c r="T25" i="85"/>
  <c r="T25" i="39"/>
  <c r="T25" i="56"/>
  <c r="T25" i="57"/>
  <c r="T25" i="58"/>
  <c r="T25" i="59"/>
  <c r="T25" i="60"/>
  <c r="T25" i="61"/>
  <c r="T25" i="62"/>
  <c r="T25" i="63"/>
  <c r="T25" i="64"/>
  <c r="T25" i="65"/>
  <c r="T25" i="66"/>
  <c r="T25" i="67"/>
  <c r="T25" i="68"/>
  <c r="T25" i="69"/>
  <c r="T25" i="70"/>
  <c r="T25" i="72"/>
  <c r="T25" i="73"/>
  <c r="T25" i="74"/>
  <c r="T25" i="75"/>
  <c r="T25" i="76"/>
  <c r="T25" i="77"/>
  <c r="T25" i="78"/>
  <c r="T25" i="79"/>
  <c r="T25" i="80"/>
  <c r="T25" i="81"/>
  <c r="T25" i="82"/>
  <c r="T25" i="83"/>
  <c r="T25" i="84"/>
  <c r="T25" i="2"/>
  <c r="T24" i="85"/>
  <c r="T24" i="39"/>
  <c r="T24" i="56"/>
  <c r="T24" i="57"/>
  <c r="T24" i="58"/>
  <c r="T24" i="59"/>
  <c r="T24" i="60"/>
  <c r="T24" i="61"/>
  <c r="T24" i="62"/>
  <c r="T24" i="63"/>
  <c r="T24" i="64"/>
  <c r="T24" i="65"/>
  <c r="T24" i="66"/>
  <c r="T24" i="67"/>
  <c r="T24" i="68"/>
  <c r="T24" i="69"/>
  <c r="T24" i="70"/>
  <c r="T24" i="72"/>
  <c r="T24" i="73"/>
  <c r="T24" i="74"/>
  <c r="T24" i="75"/>
  <c r="T24" i="76"/>
  <c r="T24" i="77"/>
  <c r="T24" i="78"/>
  <c r="T24" i="79"/>
  <c r="T24" i="80"/>
  <c r="T24" i="81"/>
  <c r="T24" i="82"/>
  <c r="T24" i="83"/>
  <c r="T24" i="84"/>
  <c r="T24" i="2"/>
  <c r="T20" i="85"/>
  <c r="T20" i="39"/>
  <c r="T20" i="56"/>
  <c r="T20" i="57"/>
  <c r="T20" i="58"/>
  <c r="T20" i="59"/>
  <c r="T20" i="60"/>
  <c r="T20" i="62"/>
  <c r="T20" i="63"/>
  <c r="T20" i="64"/>
  <c r="T20" i="65"/>
  <c r="T20" i="66"/>
  <c r="T20" i="67"/>
  <c r="T20" i="68"/>
  <c r="T20" i="69"/>
  <c r="T20" i="70"/>
  <c r="T20" i="72"/>
  <c r="T20" i="73"/>
  <c r="T20" i="74"/>
  <c r="T20" i="75"/>
  <c r="T20" i="76"/>
  <c r="T20" i="77"/>
  <c r="T20" i="78"/>
  <c r="T20" i="79"/>
  <c r="T20" i="80"/>
  <c r="T20" i="81"/>
  <c r="T20" i="82"/>
  <c r="T20" i="83"/>
  <c r="T20" i="84"/>
  <c r="T20" i="2"/>
  <c r="T22" i="85"/>
  <c r="T22" i="39"/>
  <c r="T22" i="56"/>
  <c r="T22" i="57"/>
  <c r="T22" i="58"/>
  <c r="T22" i="59"/>
  <c r="T22" i="60"/>
  <c r="T22" i="61"/>
  <c r="T22" i="62"/>
  <c r="T22" i="63"/>
  <c r="T22" i="64"/>
  <c r="T22" i="65"/>
  <c r="T22" i="66"/>
  <c r="T22" i="67"/>
  <c r="T22" i="68"/>
  <c r="T22" i="69"/>
  <c r="T22" i="70"/>
  <c r="T22" i="72"/>
  <c r="T22" i="73"/>
  <c r="T22" i="74"/>
  <c r="T22" i="75"/>
  <c r="T22" i="76"/>
  <c r="T22" i="77"/>
  <c r="T22" i="78"/>
  <c r="T22" i="79"/>
  <c r="T22" i="80"/>
  <c r="T22" i="81"/>
  <c r="T22" i="82"/>
  <c r="T22" i="83"/>
  <c r="T22" i="84"/>
  <c r="T22" i="2"/>
  <c r="T23" i="85"/>
  <c r="T23" i="39"/>
  <c r="T23" i="56"/>
  <c r="T23" i="57"/>
  <c r="T23" i="58"/>
  <c r="T23" i="59"/>
  <c r="T23" i="60"/>
  <c r="T23" i="62"/>
  <c r="T23" i="63"/>
  <c r="T23" i="64"/>
  <c r="T23" i="65"/>
  <c r="T23" i="66"/>
  <c r="T23" i="67"/>
  <c r="T23" i="68"/>
  <c r="T23" i="69"/>
  <c r="T23" i="70"/>
  <c r="T23" i="72"/>
  <c r="T23" i="73"/>
  <c r="T23" i="74"/>
  <c r="T23" i="75"/>
  <c r="T23" i="76"/>
  <c r="T23" i="77"/>
  <c r="T23" i="78"/>
  <c r="T23" i="79"/>
  <c r="T23" i="80"/>
  <c r="T23" i="81"/>
  <c r="T23" i="82"/>
  <c r="T23" i="83"/>
  <c r="T23" i="84"/>
  <c r="T23" i="2"/>
  <c r="T19" i="85"/>
  <c r="T19" i="39"/>
  <c r="T19" i="56"/>
  <c r="T19" i="57"/>
  <c r="T19" i="58"/>
  <c r="T19" i="59"/>
  <c r="T19" i="60"/>
  <c r="T19" i="61"/>
  <c r="T19" i="62"/>
  <c r="T19" i="63"/>
  <c r="T19" i="64"/>
  <c r="T19" i="65"/>
  <c r="T19" i="66"/>
  <c r="T19" i="67"/>
  <c r="T19" i="68"/>
  <c r="T19" i="69"/>
  <c r="T19" i="70"/>
  <c r="T19" i="72"/>
  <c r="T19" i="73"/>
  <c r="T19" i="74"/>
  <c r="T19" i="75"/>
  <c r="T19" i="76"/>
  <c r="T19" i="77"/>
  <c r="T19" i="78"/>
  <c r="T19" i="79"/>
  <c r="T19" i="80"/>
  <c r="T19" i="81"/>
  <c r="T19" i="82"/>
  <c r="T19" i="83"/>
  <c r="T19" i="84"/>
  <c r="T19" i="2"/>
  <c r="F46" i="36"/>
  <c r="V36" i="2"/>
  <c r="Z36" i="2" s="1"/>
  <c r="V35" i="2"/>
  <c r="Z35" i="2" s="1"/>
  <c r="V34" i="2"/>
  <c r="Z34" i="2" s="1"/>
  <c r="V33" i="2"/>
  <c r="Z33" i="2" s="1"/>
  <c r="V36" i="85"/>
  <c r="V35" i="85"/>
  <c r="V34" i="85"/>
  <c r="V33" i="85"/>
  <c r="V15" i="85"/>
  <c r="V15" i="39"/>
  <c r="V15" i="56"/>
  <c r="V15" i="57"/>
  <c r="V15" i="58"/>
  <c r="V15" i="59"/>
  <c r="V15" i="60"/>
  <c r="V15" i="61"/>
  <c r="V15" i="62"/>
  <c r="V15" i="63"/>
  <c r="V15" i="64"/>
  <c r="V15" i="65"/>
  <c r="V15" i="66"/>
  <c r="V15" i="67"/>
  <c r="V15" i="68"/>
  <c r="V15" i="69"/>
  <c r="V15" i="70"/>
  <c r="V15" i="72"/>
  <c r="V15" i="73"/>
  <c r="V15" i="74"/>
  <c r="V15" i="75"/>
  <c r="V15" i="76"/>
  <c r="V15" i="77"/>
  <c r="V15" i="78"/>
  <c r="V15" i="79"/>
  <c r="V15" i="80"/>
  <c r="V15" i="81"/>
  <c r="V15" i="82"/>
  <c r="V15" i="83"/>
  <c r="V15" i="84"/>
  <c r="V15" i="2"/>
  <c r="AC9" i="85" a="1"/>
  <c r="AC9" i="85" s="1"/>
  <c r="AC9" i="56" a="1"/>
  <c r="AC9" i="56" s="1"/>
  <c r="AC9" i="57" a="1"/>
  <c r="AC9" i="57" s="1"/>
  <c r="AC9" i="58" a="1"/>
  <c r="AC9" i="58" s="1"/>
  <c r="AC9" i="59" a="1"/>
  <c r="AC9" i="59" s="1"/>
  <c r="AC9" i="60" a="1"/>
  <c r="AC9" i="60" s="1"/>
  <c r="AC9" i="61" a="1"/>
  <c r="AC9" i="61" s="1"/>
  <c r="AC9" i="62" a="1"/>
  <c r="AC9" i="62" s="1"/>
  <c r="AC9" i="63" a="1"/>
  <c r="AC9" i="63" s="1"/>
  <c r="AC9" i="64" a="1"/>
  <c r="AC9" i="64" s="1"/>
  <c r="AC9" i="65" a="1"/>
  <c r="AC9" i="65" s="1"/>
  <c r="AC9" i="66" a="1"/>
  <c r="AC9" i="66" s="1"/>
  <c r="AC9" i="67" a="1"/>
  <c r="AC9" i="67" s="1"/>
  <c r="AC9" i="68" a="1"/>
  <c r="AC9" i="68" s="1"/>
  <c r="AC9" i="69" a="1"/>
  <c r="AC9" i="69" s="1"/>
  <c r="AC9" i="70" a="1"/>
  <c r="AC9" i="70" s="1"/>
  <c r="AC9" i="72" a="1"/>
  <c r="AC9" i="72" s="1"/>
  <c r="AC9" i="73" a="1"/>
  <c r="AC9" i="73" s="1"/>
  <c r="AC9" i="74" a="1"/>
  <c r="AC9" i="74" s="1"/>
  <c r="AC9" i="75" a="1"/>
  <c r="AC9" i="75" s="1"/>
  <c r="AC9" i="76" a="1"/>
  <c r="AC9" i="76" s="1"/>
  <c r="AC9" i="77" a="1"/>
  <c r="AC9" i="77" s="1"/>
  <c r="AC9" i="78" a="1"/>
  <c r="AC9" i="78" s="1"/>
  <c r="AC9" i="79" a="1"/>
  <c r="AC9" i="79" s="1"/>
  <c r="AC9" i="80" a="1"/>
  <c r="AC9" i="80" s="1"/>
  <c r="AC9" i="81" a="1"/>
  <c r="AC9" i="81" s="1"/>
  <c r="AC9" i="82" a="1"/>
  <c r="AC9" i="82" s="1"/>
  <c r="AC9" i="83" a="1"/>
  <c r="AC9" i="83" s="1"/>
  <c r="AC9" i="84" a="1"/>
  <c r="AC9" i="84" s="1"/>
  <c r="AC9" i="2" a="1"/>
  <c r="AC9" i="2" s="1"/>
  <c r="AB9" i="57" a="1"/>
  <c r="AB9" i="57" s="1"/>
  <c r="AB9" i="62" a="1"/>
  <c r="AB9" i="62" s="1"/>
  <c r="AB9" i="63" a="1"/>
  <c r="AB9" i="63" s="1"/>
  <c r="AB9" i="64" a="1"/>
  <c r="AB9" i="64" s="1"/>
  <c r="AB9" i="65" a="1"/>
  <c r="AB9" i="65" s="1"/>
  <c r="AB9" i="66" a="1"/>
  <c r="AB9" i="66" s="1"/>
  <c r="AB9" i="67" a="1"/>
  <c r="AB9" i="67" s="1"/>
  <c r="AB9" i="68" a="1"/>
  <c r="AB9" i="68" s="1"/>
  <c r="AB9" i="69" a="1"/>
  <c r="AB9" i="69" s="1"/>
  <c r="AB9" i="70" a="1"/>
  <c r="AB9" i="70" s="1"/>
  <c r="AB9" i="72" a="1"/>
  <c r="AB9" i="72" s="1"/>
  <c r="AB9" i="73" a="1"/>
  <c r="AB9" i="73" s="1"/>
  <c r="AB9" i="74" a="1"/>
  <c r="AB9" i="74" s="1"/>
  <c r="AB9" i="75" a="1"/>
  <c r="AB9" i="75" s="1"/>
  <c r="AB9" i="76" a="1"/>
  <c r="AB9" i="76" s="1"/>
  <c r="AB9" i="77" a="1"/>
  <c r="AB9" i="77" s="1"/>
  <c r="AB9" i="78" a="1"/>
  <c r="AB9" i="78" s="1"/>
  <c r="AB9" i="79" a="1"/>
  <c r="AB9" i="79" s="1"/>
  <c r="AB9" i="80" a="1"/>
  <c r="AB9" i="80" s="1"/>
  <c r="AB9" i="81" a="1"/>
  <c r="AB9" i="81" s="1"/>
  <c r="AB9" i="82" a="1"/>
  <c r="AB9" i="82" s="1"/>
  <c r="AB9" i="83" a="1"/>
  <c r="AB9" i="83" s="1"/>
  <c r="AB9" i="84" a="1"/>
  <c r="AB9" i="84" s="1"/>
  <c r="Y19" i="2"/>
  <c r="Y19" i="85"/>
  <c r="Y19" i="39"/>
  <c r="Y19" i="56"/>
  <c r="Y19" i="57"/>
  <c r="Y19" i="58"/>
  <c r="Y19" i="60"/>
  <c r="Y19" i="61"/>
  <c r="Y19" i="62"/>
  <c r="Y19" i="63"/>
  <c r="Y19" i="64"/>
  <c r="Y19" i="65"/>
  <c r="Y19" i="66"/>
  <c r="Y19" i="67"/>
  <c r="Y19" i="68"/>
  <c r="Y19" i="69"/>
  <c r="Y19" i="70"/>
  <c r="Y19" i="72"/>
  <c r="Y19" i="73"/>
  <c r="Y19" i="74"/>
  <c r="Y19" i="75"/>
  <c r="Y19" i="76"/>
  <c r="Y19" i="77"/>
  <c r="Y19" i="78"/>
  <c r="Y19" i="79"/>
  <c r="Y19" i="80"/>
  <c r="Y19" i="81"/>
  <c r="Y19" i="82"/>
  <c r="Y19" i="83"/>
  <c r="Y19" i="84"/>
  <c r="Y19" i="59"/>
  <c r="U11" i="2"/>
  <c r="U11" i="85"/>
  <c r="U11" i="56"/>
  <c r="U11" i="57"/>
  <c r="U11" i="58"/>
  <c r="U11" i="60"/>
  <c r="U11" i="61"/>
  <c r="U11" i="62"/>
  <c r="U11" i="63"/>
  <c r="U11" i="64"/>
  <c r="U11" i="65"/>
  <c r="U11" i="66"/>
  <c r="U11" i="67"/>
  <c r="U11" i="68"/>
  <c r="U11" i="69"/>
  <c r="U11" i="70"/>
  <c r="U11" i="72"/>
  <c r="U11" i="73"/>
  <c r="U11" i="74"/>
  <c r="U11" i="75"/>
  <c r="U11" i="76"/>
  <c r="U11" i="77"/>
  <c r="U11" i="78"/>
  <c r="U11" i="79"/>
  <c r="U11" i="80"/>
  <c r="U11" i="81"/>
  <c r="U11" i="82"/>
  <c r="U11" i="83"/>
  <c r="U11" i="84"/>
  <c r="V36" i="56"/>
  <c r="V35" i="56"/>
  <c r="V34" i="56"/>
  <c r="V33" i="56"/>
  <c r="V36" i="57"/>
  <c r="V35" i="57"/>
  <c r="V34" i="57"/>
  <c r="V33" i="57"/>
  <c r="V35" i="58"/>
  <c r="V34" i="58"/>
  <c r="V36" i="59"/>
  <c r="V35" i="59"/>
  <c r="V34" i="59"/>
  <c r="V33" i="59"/>
  <c r="V36" i="60"/>
  <c r="V35" i="60"/>
  <c r="V34" i="60"/>
  <c r="V33" i="60"/>
  <c r="V36" i="61"/>
  <c r="V35" i="61"/>
  <c r="V34" i="61"/>
  <c r="V33" i="61"/>
  <c r="V36" i="62"/>
  <c r="V35" i="62"/>
  <c r="V34" i="62"/>
  <c r="V33" i="62"/>
  <c r="V36" i="63"/>
  <c r="V35" i="63"/>
  <c r="V34" i="63"/>
  <c r="V33" i="63"/>
  <c r="V36" i="64"/>
  <c r="V35" i="64"/>
  <c r="V34" i="64"/>
  <c r="V33" i="64"/>
  <c r="V36" i="65"/>
  <c r="V35" i="65"/>
  <c r="V34" i="65"/>
  <c r="V33" i="65"/>
  <c r="V36" i="66"/>
  <c r="V35" i="66"/>
  <c r="V34" i="66"/>
  <c r="V33" i="66"/>
  <c r="V36" i="67"/>
  <c r="V35" i="67"/>
  <c r="V34" i="67"/>
  <c r="V33" i="67"/>
  <c r="V36" i="68"/>
  <c r="V35" i="68"/>
  <c r="V34" i="68"/>
  <c r="V33" i="68"/>
  <c r="V36" i="69"/>
  <c r="V35" i="69"/>
  <c r="V34" i="69"/>
  <c r="V33" i="69"/>
  <c r="V36" i="70"/>
  <c r="V35" i="70"/>
  <c r="V34" i="70"/>
  <c r="V33" i="70"/>
  <c r="V36" i="72"/>
  <c r="V35" i="72"/>
  <c r="V34" i="72"/>
  <c r="V33" i="72"/>
  <c r="V36" i="73"/>
  <c r="V35" i="73"/>
  <c r="V34" i="73"/>
  <c r="V33" i="73"/>
  <c r="V36" i="74"/>
  <c r="V35" i="74"/>
  <c r="V34" i="74"/>
  <c r="V33" i="74"/>
  <c r="V36" i="75"/>
  <c r="V35" i="75"/>
  <c r="V34" i="75"/>
  <c r="V33" i="75"/>
  <c r="V36" i="76"/>
  <c r="V35" i="76"/>
  <c r="V34" i="76"/>
  <c r="V33" i="76"/>
  <c r="V36" i="77"/>
  <c r="V35" i="77"/>
  <c r="V34" i="77"/>
  <c r="V33" i="77"/>
  <c r="V36" i="78"/>
  <c r="V35" i="78"/>
  <c r="V34" i="78"/>
  <c r="V33" i="78"/>
  <c r="V36" i="79"/>
  <c r="V35" i="79"/>
  <c r="V34" i="79"/>
  <c r="V33" i="79"/>
  <c r="V36" i="80"/>
  <c r="V35" i="80"/>
  <c r="V34" i="80"/>
  <c r="V33" i="80"/>
  <c r="V36" i="81"/>
  <c r="V35" i="81"/>
  <c r="V34" i="81"/>
  <c r="V33" i="81"/>
  <c r="V36" i="82"/>
  <c r="V35" i="82"/>
  <c r="V34" i="82"/>
  <c r="V33" i="82"/>
  <c r="V36" i="83"/>
  <c r="V35" i="83"/>
  <c r="V34" i="83"/>
  <c r="V33" i="83"/>
  <c r="V36" i="84"/>
  <c r="V35" i="84"/>
  <c r="V34" i="84"/>
  <c r="V33" i="84"/>
  <c r="V36" i="39"/>
  <c r="V35" i="39"/>
  <c r="V34" i="39"/>
  <c r="V33" i="39"/>
  <c r="Y20" i="85"/>
  <c r="Y20" i="2"/>
  <c r="Y20" i="56"/>
  <c r="Y20" i="57"/>
  <c r="Y20" i="58"/>
  <c r="Y20" i="59"/>
  <c r="Y20" i="60"/>
  <c r="Y20" i="61"/>
  <c r="Y20" i="62"/>
  <c r="Y20" i="63"/>
  <c r="Y20" i="64"/>
  <c r="Y20" i="65"/>
  <c r="Y20" i="66"/>
  <c r="Y20" i="67"/>
  <c r="Y20" i="68"/>
  <c r="Y20" i="69"/>
  <c r="Y20" i="70"/>
  <c r="Y20" i="72"/>
  <c r="Y20" i="73"/>
  <c r="Y20" i="74"/>
  <c r="Y20" i="75"/>
  <c r="Y20" i="76"/>
  <c r="Y20" i="77"/>
  <c r="Y20" i="78"/>
  <c r="Y20" i="79"/>
  <c r="Y20" i="80"/>
  <c r="Y20" i="81"/>
  <c r="Y20" i="82"/>
  <c r="Y20" i="83"/>
  <c r="Y20" i="84"/>
  <c r="Y20" i="39"/>
  <c r="K8" i="85"/>
  <c r="N8" i="85" s="1"/>
  <c r="K9" i="85"/>
  <c r="N9" i="85" s="1"/>
  <c r="U15" i="85" s="1"/>
  <c r="Y10" i="85" s="1"/>
  <c r="K10" i="85"/>
  <c r="N10" i="85" s="1"/>
  <c r="K11" i="85"/>
  <c r="N11" i="85" s="1"/>
  <c r="K12" i="85"/>
  <c r="N12" i="85" s="1"/>
  <c r="K13" i="85"/>
  <c r="N13" i="85" s="1"/>
  <c r="K14" i="85"/>
  <c r="N14" i="85" s="1"/>
  <c r="K15" i="85"/>
  <c r="N15" i="85" s="1"/>
  <c r="K16" i="85"/>
  <c r="N16" i="85" s="1"/>
  <c r="K17" i="85"/>
  <c r="N17" i="85" s="1"/>
  <c r="K18" i="85"/>
  <c r="N18" i="85" s="1"/>
  <c r="K19" i="85"/>
  <c r="N19" i="85" s="1"/>
  <c r="K20" i="85"/>
  <c r="N20" i="85" s="1"/>
  <c r="K21" i="85"/>
  <c r="N21" i="85" s="1"/>
  <c r="K22" i="85"/>
  <c r="N22" i="85" s="1"/>
  <c r="K23" i="85"/>
  <c r="N23" i="85" s="1"/>
  <c r="K24" i="85"/>
  <c r="N24" i="85" s="1"/>
  <c r="K25" i="85"/>
  <c r="N25" i="85" s="1"/>
  <c r="K26" i="85"/>
  <c r="N26" i="85" s="1"/>
  <c r="K27" i="85"/>
  <c r="N27" i="85" s="1"/>
  <c r="K28" i="85"/>
  <c r="N28" i="85" s="1"/>
  <c r="K29" i="85"/>
  <c r="N29" i="85" s="1"/>
  <c r="K30" i="85"/>
  <c r="N30" i="85" s="1"/>
  <c r="K31" i="85"/>
  <c r="N31" i="85" s="1"/>
  <c r="K32" i="85"/>
  <c r="N32" i="85" s="1"/>
  <c r="K33" i="85"/>
  <c r="N33" i="85" s="1"/>
  <c r="K34" i="85"/>
  <c r="N34" i="85" s="1"/>
  <c r="K35" i="85"/>
  <c r="N35" i="85" s="1"/>
  <c r="K36" i="85"/>
  <c r="N36" i="85" s="1"/>
  <c r="K37" i="85"/>
  <c r="N37" i="85" s="1"/>
  <c r="K38" i="85"/>
  <c r="N38" i="85" s="1"/>
  <c r="K39" i="85"/>
  <c r="N39" i="85" s="1"/>
  <c r="K40" i="85"/>
  <c r="N40" i="85" s="1"/>
  <c r="K41" i="85"/>
  <c r="N41" i="85" s="1"/>
  <c r="K42" i="85"/>
  <c r="N42" i="85" s="1"/>
  <c r="K43" i="85"/>
  <c r="N43" i="85" s="1"/>
  <c r="K44" i="85"/>
  <c r="N44" i="85" s="1"/>
  <c r="K45" i="85"/>
  <c r="N45" i="85" s="1"/>
  <c r="K46" i="85"/>
  <c r="N46" i="85" s="1"/>
  <c r="K47" i="85"/>
  <c r="N47" i="85" s="1"/>
  <c r="K48" i="85"/>
  <c r="N48" i="85" s="1"/>
  <c r="K49" i="85"/>
  <c r="N49" i="85" s="1"/>
  <c r="K50" i="85"/>
  <c r="N50" i="85" s="1"/>
  <c r="K51" i="85"/>
  <c r="N51" i="85" s="1"/>
  <c r="K52" i="85"/>
  <c r="N52" i="85" s="1"/>
  <c r="K53" i="85"/>
  <c r="N53" i="85" s="1"/>
  <c r="K54" i="85"/>
  <c r="N54" i="85" s="1"/>
  <c r="K55" i="85"/>
  <c r="N55" i="85" s="1"/>
  <c r="K56" i="85"/>
  <c r="N56" i="85" s="1"/>
  <c r="K57" i="85"/>
  <c r="N57" i="85" s="1"/>
  <c r="K58" i="85"/>
  <c r="N58" i="85" s="1"/>
  <c r="K59" i="85"/>
  <c r="N59" i="85" s="1"/>
  <c r="K60" i="85"/>
  <c r="N60" i="85" s="1"/>
  <c r="K61" i="85"/>
  <c r="N61" i="85" s="1"/>
  <c r="K62" i="85"/>
  <c r="N62" i="85" s="1"/>
  <c r="K63" i="85"/>
  <c r="N63" i="85" s="1"/>
  <c r="K64" i="85"/>
  <c r="N64" i="85" s="1"/>
  <c r="K65" i="85"/>
  <c r="N65" i="85" s="1"/>
  <c r="K66" i="85"/>
  <c r="N66" i="85" s="1"/>
  <c r="K67" i="85"/>
  <c r="N67" i="85" s="1"/>
  <c r="K68" i="85"/>
  <c r="N68" i="85" s="1"/>
  <c r="K69" i="85"/>
  <c r="N69" i="85" s="1"/>
  <c r="K70" i="85"/>
  <c r="N70" i="85" s="1"/>
  <c r="K71" i="85"/>
  <c r="N71" i="85" s="1"/>
  <c r="K72" i="85"/>
  <c r="N72" i="85" s="1"/>
  <c r="K73" i="85"/>
  <c r="N73" i="85" s="1"/>
  <c r="K74" i="85"/>
  <c r="N74" i="85" s="1"/>
  <c r="K75" i="85"/>
  <c r="N75" i="85" s="1"/>
  <c r="K76" i="85"/>
  <c r="N76" i="85" s="1"/>
  <c r="K77" i="85"/>
  <c r="N77" i="85" s="1"/>
  <c r="K78" i="85"/>
  <c r="N78" i="85" s="1"/>
  <c r="K79" i="85"/>
  <c r="N79" i="85" s="1"/>
  <c r="K80" i="85"/>
  <c r="N80" i="85" s="1"/>
  <c r="K81" i="85"/>
  <c r="N81" i="85" s="1"/>
  <c r="K82" i="85"/>
  <c r="N82" i="85" s="1"/>
  <c r="K83" i="85"/>
  <c r="N83" i="85" s="1"/>
  <c r="K84" i="85"/>
  <c r="N84" i="85" s="1"/>
  <c r="K85" i="85"/>
  <c r="N85" i="85" s="1"/>
  <c r="K86" i="85"/>
  <c r="N86" i="85" s="1"/>
  <c r="K87" i="85"/>
  <c r="N87" i="85" s="1"/>
  <c r="K88" i="85"/>
  <c r="N88" i="85" s="1"/>
  <c r="K89" i="85"/>
  <c r="N89" i="85" s="1"/>
  <c r="K90" i="85"/>
  <c r="N90" i="85" s="1"/>
  <c r="K91" i="85"/>
  <c r="N91" i="85" s="1"/>
  <c r="K92" i="85"/>
  <c r="N92" i="85" s="1"/>
  <c r="K93" i="85"/>
  <c r="N93" i="85" s="1"/>
  <c r="K94" i="85"/>
  <c r="N94" i="85" s="1"/>
  <c r="K95" i="85"/>
  <c r="N95" i="85" s="1"/>
  <c r="K96" i="85"/>
  <c r="N96" i="85" s="1"/>
  <c r="K97" i="85"/>
  <c r="N97" i="85" s="1"/>
  <c r="K98" i="85"/>
  <c r="N98" i="85" s="1"/>
  <c r="K99" i="85"/>
  <c r="N99" i="85" s="1"/>
  <c r="K100" i="85"/>
  <c r="N100" i="85" s="1"/>
  <c r="K101" i="85"/>
  <c r="N101" i="85" s="1"/>
  <c r="U10" i="85"/>
  <c r="U9" i="85"/>
  <c r="Y17" i="85" s="1"/>
  <c r="K101" i="84"/>
  <c r="N101" i="84" s="1"/>
  <c r="K100" i="84"/>
  <c r="N100" i="84" s="1"/>
  <c r="K99" i="84"/>
  <c r="N99" i="84" s="1"/>
  <c r="K98" i="84"/>
  <c r="N98" i="84" s="1"/>
  <c r="K97" i="84"/>
  <c r="N97" i="84" s="1"/>
  <c r="K96" i="84"/>
  <c r="N96" i="84" s="1"/>
  <c r="K95" i="84"/>
  <c r="N95" i="84" s="1"/>
  <c r="K94" i="84"/>
  <c r="N94" i="84" s="1"/>
  <c r="K93" i="84"/>
  <c r="N93" i="84" s="1"/>
  <c r="K92" i="84"/>
  <c r="N92" i="84" s="1"/>
  <c r="K91" i="84"/>
  <c r="N91" i="84" s="1"/>
  <c r="K90" i="84"/>
  <c r="N90" i="84" s="1"/>
  <c r="K89" i="84"/>
  <c r="N89" i="84" s="1"/>
  <c r="K88" i="84"/>
  <c r="N88" i="84" s="1"/>
  <c r="K87" i="84"/>
  <c r="N87" i="84" s="1"/>
  <c r="K86" i="84"/>
  <c r="N86" i="84" s="1"/>
  <c r="K85" i="84"/>
  <c r="N85" i="84" s="1"/>
  <c r="K84" i="84"/>
  <c r="N84" i="84" s="1"/>
  <c r="K83" i="84"/>
  <c r="N83" i="84" s="1"/>
  <c r="K82" i="84"/>
  <c r="N82" i="84" s="1"/>
  <c r="K81" i="84"/>
  <c r="N81" i="84" s="1"/>
  <c r="K80" i="84"/>
  <c r="N80" i="84" s="1"/>
  <c r="K79" i="84"/>
  <c r="N79" i="84" s="1"/>
  <c r="K78" i="84"/>
  <c r="N78" i="84" s="1"/>
  <c r="K77" i="84"/>
  <c r="N77" i="84" s="1"/>
  <c r="K76" i="84"/>
  <c r="N76" i="84" s="1"/>
  <c r="K75" i="84"/>
  <c r="N75" i="84" s="1"/>
  <c r="K74" i="84"/>
  <c r="N74" i="84" s="1"/>
  <c r="K73" i="84"/>
  <c r="N73" i="84" s="1"/>
  <c r="K72" i="84"/>
  <c r="N72" i="84" s="1"/>
  <c r="K71" i="84"/>
  <c r="N71" i="84" s="1"/>
  <c r="K70" i="84"/>
  <c r="N70" i="84" s="1"/>
  <c r="K69" i="84"/>
  <c r="N69" i="84" s="1"/>
  <c r="K68" i="84"/>
  <c r="N68" i="84" s="1"/>
  <c r="K67" i="84"/>
  <c r="N67" i="84" s="1"/>
  <c r="K66" i="84"/>
  <c r="N66" i="84" s="1"/>
  <c r="K65" i="84"/>
  <c r="N65" i="84" s="1"/>
  <c r="K64" i="84"/>
  <c r="N64" i="84" s="1"/>
  <c r="K63" i="84"/>
  <c r="N63" i="84" s="1"/>
  <c r="K62" i="84"/>
  <c r="N62" i="84" s="1"/>
  <c r="K61" i="84"/>
  <c r="N61" i="84" s="1"/>
  <c r="K60" i="84"/>
  <c r="N60" i="84" s="1"/>
  <c r="K59" i="84"/>
  <c r="N59" i="84" s="1"/>
  <c r="K58" i="84"/>
  <c r="N58" i="84" s="1"/>
  <c r="K57" i="84"/>
  <c r="N57" i="84" s="1"/>
  <c r="K56" i="84"/>
  <c r="N56" i="84" s="1"/>
  <c r="K55" i="84"/>
  <c r="N55" i="84" s="1"/>
  <c r="K54" i="84"/>
  <c r="N54" i="84" s="1"/>
  <c r="K53" i="84"/>
  <c r="N53" i="84" s="1"/>
  <c r="K52" i="84"/>
  <c r="N52" i="84" s="1"/>
  <c r="K51" i="84"/>
  <c r="N51" i="84" s="1"/>
  <c r="K50" i="84"/>
  <c r="N50" i="84" s="1"/>
  <c r="K49" i="84"/>
  <c r="N49" i="84" s="1"/>
  <c r="K48" i="84"/>
  <c r="N48" i="84" s="1"/>
  <c r="K47" i="84"/>
  <c r="N47" i="84" s="1"/>
  <c r="K46" i="84"/>
  <c r="N46" i="84" s="1"/>
  <c r="K45" i="84"/>
  <c r="N45" i="84" s="1"/>
  <c r="K44" i="84"/>
  <c r="N44" i="84" s="1"/>
  <c r="K43" i="84"/>
  <c r="N43" i="84" s="1"/>
  <c r="K42" i="84"/>
  <c r="N42" i="84" s="1"/>
  <c r="K41" i="84"/>
  <c r="N41" i="84" s="1"/>
  <c r="K40" i="84"/>
  <c r="N40" i="84" s="1"/>
  <c r="K39" i="84"/>
  <c r="N39" i="84" s="1"/>
  <c r="K38" i="84"/>
  <c r="N38" i="84" s="1"/>
  <c r="K37" i="84"/>
  <c r="N37" i="84" s="1"/>
  <c r="K36" i="84"/>
  <c r="N36" i="84" s="1"/>
  <c r="K35" i="84"/>
  <c r="N35" i="84" s="1"/>
  <c r="K34" i="84"/>
  <c r="N34" i="84" s="1"/>
  <c r="K33" i="84"/>
  <c r="N33" i="84" s="1"/>
  <c r="K32" i="84"/>
  <c r="N32" i="84" s="1"/>
  <c r="K31" i="84"/>
  <c r="N31" i="84" s="1"/>
  <c r="K30" i="84"/>
  <c r="N30" i="84" s="1"/>
  <c r="K29" i="84"/>
  <c r="N29" i="84" s="1"/>
  <c r="K28" i="84"/>
  <c r="N28" i="84" s="1"/>
  <c r="K27" i="84"/>
  <c r="N27" i="84" s="1"/>
  <c r="K26" i="84"/>
  <c r="N26" i="84" s="1"/>
  <c r="K25" i="84"/>
  <c r="N25" i="84" s="1"/>
  <c r="K24" i="84"/>
  <c r="N24" i="84" s="1"/>
  <c r="K23" i="84"/>
  <c r="N23" i="84" s="1"/>
  <c r="K22" i="84"/>
  <c r="N22" i="84" s="1"/>
  <c r="K21" i="84"/>
  <c r="N21" i="84" s="1"/>
  <c r="K20" i="84"/>
  <c r="N20" i="84" s="1"/>
  <c r="K19" i="84"/>
  <c r="N19" i="84" s="1"/>
  <c r="K18" i="84"/>
  <c r="N18" i="84" s="1"/>
  <c r="K17" i="84"/>
  <c r="N17" i="84" s="1"/>
  <c r="K16" i="84"/>
  <c r="N16" i="84" s="1"/>
  <c r="U15" i="84"/>
  <c r="Y10" i="84" s="1"/>
  <c r="K15" i="84"/>
  <c r="N15" i="84" s="1"/>
  <c r="U14" i="84"/>
  <c r="K14" i="84"/>
  <c r="N14" i="84" s="1"/>
  <c r="U13" i="84"/>
  <c r="K13" i="84"/>
  <c r="N13" i="84" s="1"/>
  <c r="K12" i="84"/>
  <c r="N12" i="84" s="1"/>
  <c r="K11" i="84"/>
  <c r="N11" i="84" s="1"/>
  <c r="U10" i="84"/>
  <c r="K10" i="84"/>
  <c r="N10" i="84" s="1"/>
  <c r="U9" i="84"/>
  <c r="Y17" i="84" s="1"/>
  <c r="K9" i="84"/>
  <c r="N9" i="84" s="1"/>
  <c r="K8" i="84"/>
  <c r="N8" i="84" s="1"/>
  <c r="K101" i="83"/>
  <c r="N101" i="83" s="1"/>
  <c r="K100" i="83"/>
  <c r="N100" i="83" s="1"/>
  <c r="K99" i="83"/>
  <c r="N99" i="83" s="1"/>
  <c r="K98" i="83"/>
  <c r="N98" i="83" s="1"/>
  <c r="K97" i="83"/>
  <c r="N97" i="83" s="1"/>
  <c r="K96" i="83"/>
  <c r="N96" i="83" s="1"/>
  <c r="K95" i="83"/>
  <c r="N95" i="83" s="1"/>
  <c r="K94" i="83"/>
  <c r="N94" i="83" s="1"/>
  <c r="K93" i="83"/>
  <c r="N93" i="83" s="1"/>
  <c r="K92" i="83"/>
  <c r="N92" i="83" s="1"/>
  <c r="K91" i="83"/>
  <c r="N91" i="83" s="1"/>
  <c r="K90" i="83"/>
  <c r="N90" i="83" s="1"/>
  <c r="K89" i="83"/>
  <c r="N89" i="83" s="1"/>
  <c r="K88" i="83"/>
  <c r="N88" i="83" s="1"/>
  <c r="K87" i="83"/>
  <c r="N87" i="83" s="1"/>
  <c r="K86" i="83"/>
  <c r="N86" i="83" s="1"/>
  <c r="K85" i="83"/>
  <c r="N85" i="83" s="1"/>
  <c r="K84" i="83"/>
  <c r="N84" i="83" s="1"/>
  <c r="K83" i="83"/>
  <c r="N83" i="83" s="1"/>
  <c r="K82" i="83"/>
  <c r="N82" i="83" s="1"/>
  <c r="K81" i="83"/>
  <c r="N81" i="83" s="1"/>
  <c r="K80" i="83"/>
  <c r="N80" i="83" s="1"/>
  <c r="K79" i="83"/>
  <c r="N79" i="83" s="1"/>
  <c r="K78" i="83"/>
  <c r="N78" i="83" s="1"/>
  <c r="K77" i="83"/>
  <c r="N77" i="83" s="1"/>
  <c r="K76" i="83"/>
  <c r="N76" i="83" s="1"/>
  <c r="K75" i="83"/>
  <c r="N75" i="83" s="1"/>
  <c r="K74" i="83"/>
  <c r="N74" i="83" s="1"/>
  <c r="K73" i="83"/>
  <c r="N73" i="83" s="1"/>
  <c r="K72" i="83"/>
  <c r="N72" i="83" s="1"/>
  <c r="K71" i="83"/>
  <c r="N71" i="83" s="1"/>
  <c r="K70" i="83"/>
  <c r="N70" i="83" s="1"/>
  <c r="K69" i="83"/>
  <c r="N69" i="83" s="1"/>
  <c r="K68" i="83"/>
  <c r="N68" i="83" s="1"/>
  <c r="K67" i="83"/>
  <c r="N67" i="83" s="1"/>
  <c r="K66" i="83"/>
  <c r="N66" i="83" s="1"/>
  <c r="K65" i="83"/>
  <c r="N65" i="83" s="1"/>
  <c r="K64" i="83"/>
  <c r="N64" i="83" s="1"/>
  <c r="K63" i="83"/>
  <c r="N63" i="83" s="1"/>
  <c r="K62" i="83"/>
  <c r="N62" i="83" s="1"/>
  <c r="K61" i="83"/>
  <c r="N61" i="83" s="1"/>
  <c r="K60" i="83"/>
  <c r="N60" i="83" s="1"/>
  <c r="K59" i="83"/>
  <c r="N59" i="83" s="1"/>
  <c r="K58" i="83"/>
  <c r="N58" i="83" s="1"/>
  <c r="K57" i="83"/>
  <c r="N57" i="83" s="1"/>
  <c r="K56" i="83"/>
  <c r="N56" i="83" s="1"/>
  <c r="K55" i="83"/>
  <c r="N55" i="83" s="1"/>
  <c r="K54" i="83"/>
  <c r="N54" i="83" s="1"/>
  <c r="K53" i="83"/>
  <c r="N53" i="83" s="1"/>
  <c r="K52" i="83"/>
  <c r="N52" i="83" s="1"/>
  <c r="K51" i="83"/>
  <c r="N51" i="83" s="1"/>
  <c r="K50" i="83"/>
  <c r="N50" i="83" s="1"/>
  <c r="K49" i="83"/>
  <c r="N49" i="83" s="1"/>
  <c r="K48" i="83"/>
  <c r="N48" i="83" s="1"/>
  <c r="K47" i="83"/>
  <c r="N47" i="83" s="1"/>
  <c r="K46" i="83"/>
  <c r="N46" i="83" s="1"/>
  <c r="K45" i="83"/>
  <c r="N45" i="83" s="1"/>
  <c r="K44" i="83"/>
  <c r="N44" i="83" s="1"/>
  <c r="K43" i="83"/>
  <c r="N43" i="83" s="1"/>
  <c r="K42" i="83"/>
  <c r="N42" i="83" s="1"/>
  <c r="K41" i="83"/>
  <c r="N41" i="83" s="1"/>
  <c r="K40" i="83"/>
  <c r="N40" i="83" s="1"/>
  <c r="K39" i="83"/>
  <c r="N39" i="83" s="1"/>
  <c r="K38" i="83"/>
  <c r="N38" i="83" s="1"/>
  <c r="K37" i="83"/>
  <c r="N37" i="83" s="1"/>
  <c r="K36" i="83"/>
  <c r="N36" i="83" s="1"/>
  <c r="K35" i="83"/>
  <c r="N35" i="83" s="1"/>
  <c r="K34" i="83"/>
  <c r="N34" i="83" s="1"/>
  <c r="K33" i="83"/>
  <c r="N33" i="83" s="1"/>
  <c r="K32" i="83"/>
  <c r="N32" i="83" s="1"/>
  <c r="K31" i="83"/>
  <c r="N31" i="83" s="1"/>
  <c r="K30" i="83"/>
  <c r="N30" i="83" s="1"/>
  <c r="K29" i="83"/>
  <c r="N29" i="83" s="1"/>
  <c r="K28" i="83"/>
  <c r="N28" i="83" s="1"/>
  <c r="K27" i="83"/>
  <c r="N27" i="83" s="1"/>
  <c r="K26" i="83"/>
  <c r="N26" i="83" s="1"/>
  <c r="K25" i="83"/>
  <c r="N25" i="83" s="1"/>
  <c r="K24" i="83"/>
  <c r="N24" i="83" s="1"/>
  <c r="K23" i="83"/>
  <c r="N23" i="83" s="1"/>
  <c r="K22" i="83"/>
  <c r="N22" i="83" s="1"/>
  <c r="K21" i="83"/>
  <c r="N21" i="83" s="1"/>
  <c r="K20" i="83"/>
  <c r="N20" i="83" s="1"/>
  <c r="K19" i="83"/>
  <c r="N19" i="83" s="1"/>
  <c r="K18" i="83"/>
  <c r="N18" i="83" s="1"/>
  <c r="K17" i="83"/>
  <c r="N17" i="83" s="1"/>
  <c r="K16" i="83"/>
  <c r="N16" i="83" s="1"/>
  <c r="U15" i="83"/>
  <c r="Y10" i="83" s="1"/>
  <c r="K15" i="83"/>
  <c r="N15" i="83" s="1"/>
  <c r="U14" i="83"/>
  <c r="K14" i="83"/>
  <c r="N14" i="83" s="1"/>
  <c r="U13" i="83"/>
  <c r="K13" i="83"/>
  <c r="N13" i="83" s="1"/>
  <c r="K12" i="83"/>
  <c r="N12" i="83" s="1"/>
  <c r="K11" i="83"/>
  <c r="N11" i="83" s="1"/>
  <c r="U10" i="83"/>
  <c r="K10" i="83"/>
  <c r="N10" i="83" s="1"/>
  <c r="U9" i="83"/>
  <c r="Y17" i="83" s="1"/>
  <c r="K9" i="83"/>
  <c r="N9" i="83" s="1"/>
  <c r="K8" i="83"/>
  <c r="N8" i="83" s="1"/>
  <c r="K101" i="82"/>
  <c r="N101" i="82" s="1"/>
  <c r="K100" i="82"/>
  <c r="N100" i="82" s="1"/>
  <c r="K99" i="82"/>
  <c r="N99" i="82" s="1"/>
  <c r="K98" i="82"/>
  <c r="N98" i="82" s="1"/>
  <c r="K97" i="82"/>
  <c r="N97" i="82" s="1"/>
  <c r="K96" i="82"/>
  <c r="N96" i="82" s="1"/>
  <c r="K95" i="82"/>
  <c r="N95" i="82" s="1"/>
  <c r="K94" i="82"/>
  <c r="N94" i="82" s="1"/>
  <c r="K93" i="82"/>
  <c r="N93" i="82" s="1"/>
  <c r="K92" i="82"/>
  <c r="N92" i="82" s="1"/>
  <c r="K91" i="82"/>
  <c r="N91" i="82" s="1"/>
  <c r="K90" i="82"/>
  <c r="N90" i="82" s="1"/>
  <c r="K89" i="82"/>
  <c r="N89" i="82" s="1"/>
  <c r="K88" i="82"/>
  <c r="N88" i="82" s="1"/>
  <c r="K87" i="82"/>
  <c r="N87" i="82" s="1"/>
  <c r="K86" i="82"/>
  <c r="N86" i="82" s="1"/>
  <c r="K85" i="82"/>
  <c r="N85" i="82" s="1"/>
  <c r="K84" i="82"/>
  <c r="N84" i="82" s="1"/>
  <c r="K83" i="82"/>
  <c r="N83" i="82" s="1"/>
  <c r="K82" i="82"/>
  <c r="N82" i="82" s="1"/>
  <c r="K81" i="82"/>
  <c r="N81" i="82" s="1"/>
  <c r="K80" i="82"/>
  <c r="N80" i="82" s="1"/>
  <c r="K79" i="82"/>
  <c r="N79" i="82" s="1"/>
  <c r="K78" i="82"/>
  <c r="N78" i="82" s="1"/>
  <c r="K77" i="82"/>
  <c r="N77" i="82" s="1"/>
  <c r="K76" i="82"/>
  <c r="N76" i="82" s="1"/>
  <c r="K75" i="82"/>
  <c r="N75" i="82" s="1"/>
  <c r="K74" i="82"/>
  <c r="N74" i="82" s="1"/>
  <c r="K73" i="82"/>
  <c r="N73" i="82" s="1"/>
  <c r="K72" i="82"/>
  <c r="N72" i="82" s="1"/>
  <c r="K71" i="82"/>
  <c r="N71" i="82" s="1"/>
  <c r="K70" i="82"/>
  <c r="N70" i="82" s="1"/>
  <c r="K69" i="82"/>
  <c r="N69" i="82" s="1"/>
  <c r="K68" i="82"/>
  <c r="N68" i="82" s="1"/>
  <c r="K67" i="82"/>
  <c r="N67" i="82" s="1"/>
  <c r="K66" i="82"/>
  <c r="N66" i="82" s="1"/>
  <c r="K65" i="82"/>
  <c r="N65" i="82" s="1"/>
  <c r="K64" i="82"/>
  <c r="N64" i="82" s="1"/>
  <c r="K63" i="82"/>
  <c r="N63" i="82" s="1"/>
  <c r="K62" i="82"/>
  <c r="N62" i="82" s="1"/>
  <c r="K61" i="82"/>
  <c r="N61" i="82" s="1"/>
  <c r="K60" i="82"/>
  <c r="N60" i="82" s="1"/>
  <c r="K59" i="82"/>
  <c r="N59" i="82" s="1"/>
  <c r="K58" i="82"/>
  <c r="N58" i="82" s="1"/>
  <c r="K57" i="82"/>
  <c r="N57" i="82" s="1"/>
  <c r="K56" i="82"/>
  <c r="N56" i="82" s="1"/>
  <c r="K55" i="82"/>
  <c r="N55" i="82" s="1"/>
  <c r="K54" i="82"/>
  <c r="N54" i="82" s="1"/>
  <c r="K53" i="82"/>
  <c r="N53" i="82" s="1"/>
  <c r="K52" i="82"/>
  <c r="N52" i="82" s="1"/>
  <c r="K51" i="82"/>
  <c r="N51" i="82" s="1"/>
  <c r="K50" i="82"/>
  <c r="N50" i="82" s="1"/>
  <c r="K49" i="82"/>
  <c r="N49" i="82" s="1"/>
  <c r="K48" i="82"/>
  <c r="N48" i="82" s="1"/>
  <c r="K47" i="82"/>
  <c r="N47" i="82" s="1"/>
  <c r="K46" i="82"/>
  <c r="N46" i="82" s="1"/>
  <c r="K45" i="82"/>
  <c r="N45" i="82" s="1"/>
  <c r="K44" i="82"/>
  <c r="N44" i="82" s="1"/>
  <c r="K43" i="82"/>
  <c r="N43" i="82" s="1"/>
  <c r="K42" i="82"/>
  <c r="N42" i="82" s="1"/>
  <c r="K41" i="82"/>
  <c r="N41" i="82" s="1"/>
  <c r="K40" i="82"/>
  <c r="N40" i="82" s="1"/>
  <c r="K39" i="82"/>
  <c r="N39" i="82" s="1"/>
  <c r="K38" i="82"/>
  <c r="N38" i="82" s="1"/>
  <c r="K37" i="82"/>
  <c r="N37" i="82" s="1"/>
  <c r="K36" i="82"/>
  <c r="N36" i="82" s="1"/>
  <c r="K35" i="82"/>
  <c r="N35" i="82" s="1"/>
  <c r="K34" i="82"/>
  <c r="N34" i="82" s="1"/>
  <c r="K33" i="82"/>
  <c r="N33" i="82" s="1"/>
  <c r="K32" i="82"/>
  <c r="N32" i="82" s="1"/>
  <c r="K31" i="82"/>
  <c r="N31" i="82" s="1"/>
  <c r="K30" i="82"/>
  <c r="N30" i="82" s="1"/>
  <c r="K29" i="82"/>
  <c r="N29" i="82" s="1"/>
  <c r="K28" i="82"/>
  <c r="N28" i="82" s="1"/>
  <c r="K27" i="82"/>
  <c r="N27" i="82" s="1"/>
  <c r="K26" i="82"/>
  <c r="N26" i="82" s="1"/>
  <c r="K25" i="82"/>
  <c r="N25" i="82" s="1"/>
  <c r="K24" i="82"/>
  <c r="N24" i="82" s="1"/>
  <c r="K23" i="82"/>
  <c r="N23" i="82" s="1"/>
  <c r="K22" i="82"/>
  <c r="N22" i="82" s="1"/>
  <c r="K21" i="82"/>
  <c r="N21" i="82" s="1"/>
  <c r="K20" i="82"/>
  <c r="N20" i="82" s="1"/>
  <c r="K19" i="82"/>
  <c r="N19" i="82" s="1"/>
  <c r="K18" i="82"/>
  <c r="N18" i="82" s="1"/>
  <c r="K17" i="82"/>
  <c r="N17" i="82" s="1"/>
  <c r="K16" i="82"/>
  <c r="N16" i="82" s="1"/>
  <c r="U15" i="82"/>
  <c r="Y10" i="82" s="1"/>
  <c r="K15" i="82"/>
  <c r="N15" i="82" s="1"/>
  <c r="U14" i="82"/>
  <c r="K14" i="82"/>
  <c r="N14" i="82" s="1"/>
  <c r="U13" i="82"/>
  <c r="K13" i="82"/>
  <c r="N13" i="82" s="1"/>
  <c r="K12" i="82"/>
  <c r="N12" i="82" s="1"/>
  <c r="K11" i="82"/>
  <c r="N11" i="82" s="1"/>
  <c r="U10" i="82"/>
  <c r="K10" i="82"/>
  <c r="N10" i="82" s="1"/>
  <c r="U9" i="82"/>
  <c r="Y17" i="82" s="1"/>
  <c r="K9" i="82"/>
  <c r="N9" i="82" s="1"/>
  <c r="K8" i="82"/>
  <c r="N8" i="82" s="1"/>
  <c r="K101" i="81"/>
  <c r="N101" i="81" s="1"/>
  <c r="K100" i="81"/>
  <c r="N100" i="81" s="1"/>
  <c r="K99" i="81"/>
  <c r="N99" i="81" s="1"/>
  <c r="K98" i="81"/>
  <c r="N98" i="81" s="1"/>
  <c r="K97" i="81"/>
  <c r="N97" i="81" s="1"/>
  <c r="K96" i="81"/>
  <c r="N96" i="81" s="1"/>
  <c r="K95" i="81"/>
  <c r="N95" i="81" s="1"/>
  <c r="K94" i="81"/>
  <c r="N94" i="81" s="1"/>
  <c r="K93" i="81"/>
  <c r="N93" i="81" s="1"/>
  <c r="K92" i="81"/>
  <c r="N92" i="81" s="1"/>
  <c r="K91" i="81"/>
  <c r="N91" i="81" s="1"/>
  <c r="K90" i="81"/>
  <c r="N90" i="81" s="1"/>
  <c r="K89" i="81"/>
  <c r="N89" i="81" s="1"/>
  <c r="K88" i="81"/>
  <c r="N88" i="81" s="1"/>
  <c r="K87" i="81"/>
  <c r="N87" i="81" s="1"/>
  <c r="K86" i="81"/>
  <c r="N86" i="81" s="1"/>
  <c r="K85" i="81"/>
  <c r="N85" i="81" s="1"/>
  <c r="K84" i="81"/>
  <c r="N84" i="81" s="1"/>
  <c r="K83" i="81"/>
  <c r="N83" i="81" s="1"/>
  <c r="K82" i="81"/>
  <c r="N82" i="81" s="1"/>
  <c r="K81" i="81"/>
  <c r="N81" i="81" s="1"/>
  <c r="K80" i="81"/>
  <c r="N80" i="81" s="1"/>
  <c r="K79" i="81"/>
  <c r="N79" i="81" s="1"/>
  <c r="K78" i="81"/>
  <c r="N78" i="81" s="1"/>
  <c r="K77" i="81"/>
  <c r="N77" i="81" s="1"/>
  <c r="K76" i="81"/>
  <c r="N76" i="81" s="1"/>
  <c r="K75" i="81"/>
  <c r="N75" i="81" s="1"/>
  <c r="K74" i="81"/>
  <c r="N74" i="81" s="1"/>
  <c r="K73" i="81"/>
  <c r="N73" i="81" s="1"/>
  <c r="K72" i="81"/>
  <c r="N72" i="81" s="1"/>
  <c r="K71" i="81"/>
  <c r="N71" i="81" s="1"/>
  <c r="K70" i="81"/>
  <c r="N70" i="81" s="1"/>
  <c r="K69" i="81"/>
  <c r="N69" i="81" s="1"/>
  <c r="K68" i="81"/>
  <c r="N68" i="81" s="1"/>
  <c r="K67" i="81"/>
  <c r="N67" i="81" s="1"/>
  <c r="K66" i="81"/>
  <c r="N66" i="81" s="1"/>
  <c r="K65" i="81"/>
  <c r="N65" i="81" s="1"/>
  <c r="K64" i="81"/>
  <c r="N64" i="81" s="1"/>
  <c r="K63" i="81"/>
  <c r="N63" i="81" s="1"/>
  <c r="K62" i="81"/>
  <c r="N62" i="81" s="1"/>
  <c r="K61" i="81"/>
  <c r="N61" i="81" s="1"/>
  <c r="K60" i="81"/>
  <c r="N60" i="81" s="1"/>
  <c r="K59" i="81"/>
  <c r="N59" i="81" s="1"/>
  <c r="K58" i="81"/>
  <c r="N58" i="81" s="1"/>
  <c r="K57" i="81"/>
  <c r="N57" i="81" s="1"/>
  <c r="K56" i="81"/>
  <c r="N56" i="81" s="1"/>
  <c r="K55" i="81"/>
  <c r="N55" i="81" s="1"/>
  <c r="K54" i="81"/>
  <c r="N54" i="81" s="1"/>
  <c r="K53" i="81"/>
  <c r="N53" i="81" s="1"/>
  <c r="K52" i="81"/>
  <c r="N52" i="81" s="1"/>
  <c r="K51" i="81"/>
  <c r="N51" i="81" s="1"/>
  <c r="K50" i="81"/>
  <c r="N50" i="81" s="1"/>
  <c r="K49" i="81"/>
  <c r="N49" i="81" s="1"/>
  <c r="K48" i="81"/>
  <c r="N48" i="81" s="1"/>
  <c r="K47" i="81"/>
  <c r="N47" i="81" s="1"/>
  <c r="K46" i="81"/>
  <c r="N46" i="81" s="1"/>
  <c r="K45" i="81"/>
  <c r="N45" i="81" s="1"/>
  <c r="K44" i="81"/>
  <c r="N44" i="81" s="1"/>
  <c r="K43" i="81"/>
  <c r="N43" i="81" s="1"/>
  <c r="K42" i="81"/>
  <c r="N42" i="81" s="1"/>
  <c r="K41" i="81"/>
  <c r="N41" i="81" s="1"/>
  <c r="K40" i="81"/>
  <c r="N40" i="81" s="1"/>
  <c r="K39" i="81"/>
  <c r="N39" i="81" s="1"/>
  <c r="K38" i="81"/>
  <c r="N38" i="81" s="1"/>
  <c r="K37" i="81"/>
  <c r="N37" i="81" s="1"/>
  <c r="K36" i="81"/>
  <c r="N36" i="81" s="1"/>
  <c r="K35" i="81"/>
  <c r="N35" i="81" s="1"/>
  <c r="K34" i="81"/>
  <c r="N34" i="81" s="1"/>
  <c r="K33" i="81"/>
  <c r="N33" i="81" s="1"/>
  <c r="K32" i="81"/>
  <c r="N32" i="81" s="1"/>
  <c r="K31" i="81"/>
  <c r="N31" i="81" s="1"/>
  <c r="K30" i="81"/>
  <c r="N30" i="81" s="1"/>
  <c r="K29" i="81"/>
  <c r="N29" i="81" s="1"/>
  <c r="K28" i="81"/>
  <c r="N28" i="81" s="1"/>
  <c r="K27" i="81"/>
  <c r="N27" i="81" s="1"/>
  <c r="K26" i="81"/>
  <c r="N26" i="81" s="1"/>
  <c r="K25" i="81"/>
  <c r="N25" i="81" s="1"/>
  <c r="K24" i="81"/>
  <c r="N24" i="81" s="1"/>
  <c r="K23" i="81"/>
  <c r="N23" i="81" s="1"/>
  <c r="K22" i="81"/>
  <c r="N22" i="81" s="1"/>
  <c r="K21" i="81"/>
  <c r="N21" i="81" s="1"/>
  <c r="K20" i="81"/>
  <c r="N20" i="81" s="1"/>
  <c r="K19" i="81"/>
  <c r="N19" i="81" s="1"/>
  <c r="K18" i="81"/>
  <c r="N18" i="81" s="1"/>
  <c r="K17" i="81"/>
  <c r="N17" i="81" s="1"/>
  <c r="K16" i="81"/>
  <c r="N16" i="81" s="1"/>
  <c r="U15" i="81"/>
  <c r="Y10" i="81" s="1"/>
  <c r="K15" i="81"/>
  <c r="N15" i="81" s="1"/>
  <c r="U14" i="81"/>
  <c r="K14" i="81"/>
  <c r="N14" i="81" s="1"/>
  <c r="U13" i="81"/>
  <c r="K13" i="81"/>
  <c r="N13" i="81" s="1"/>
  <c r="K12" i="81"/>
  <c r="N12" i="81" s="1"/>
  <c r="K11" i="81"/>
  <c r="N11" i="81" s="1"/>
  <c r="U10" i="81"/>
  <c r="K10" i="81"/>
  <c r="N10" i="81" s="1"/>
  <c r="U9" i="81"/>
  <c r="Y17" i="81" s="1"/>
  <c r="K9" i="81"/>
  <c r="N9" i="81" s="1"/>
  <c r="K8" i="81"/>
  <c r="N8" i="81" s="1"/>
  <c r="K101" i="80"/>
  <c r="N101" i="80" s="1"/>
  <c r="K100" i="80"/>
  <c r="N100" i="80" s="1"/>
  <c r="K99" i="80"/>
  <c r="N99" i="80" s="1"/>
  <c r="K98" i="80"/>
  <c r="N98" i="80" s="1"/>
  <c r="K97" i="80"/>
  <c r="N97" i="80" s="1"/>
  <c r="K96" i="80"/>
  <c r="N96" i="80" s="1"/>
  <c r="K95" i="80"/>
  <c r="N95" i="80" s="1"/>
  <c r="K94" i="80"/>
  <c r="N94" i="80" s="1"/>
  <c r="K93" i="80"/>
  <c r="N93" i="80" s="1"/>
  <c r="K92" i="80"/>
  <c r="N92" i="80" s="1"/>
  <c r="K91" i="80"/>
  <c r="N91" i="80" s="1"/>
  <c r="K90" i="80"/>
  <c r="N90" i="80" s="1"/>
  <c r="K89" i="80"/>
  <c r="N89" i="80" s="1"/>
  <c r="K88" i="80"/>
  <c r="N88" i="80" s="1"/>
  <c r="K87" i="80"/>
  <c r="N87" i="80" s="1"/>
  <c r="K86" i="80"/>
  <c r="N86" i="80" s="1"/>
  <c r="K85" i="80"/>
  <c r="N85" i="80" s="1"/>
  <c r="K84" i="80"/>
  <c r="N84" i="80" s="1"/>
  <c r="K83" i="80"/>
  <c r="N83" i="80" s="1"/>
  <c r="K82" i="80"/>
  <c r="N82" i="80" s="1"/>
  <c r="K81" i="80"/>
  <c r="N81" i="80" s="1"/>
  <c r="K80" i="80"/>
  <c r="N80" i="80" s="1"/>
  <c r="K79" i="80"/>
  <c r="N79" i="80" s="1"/>
  <c r="K78" i="80"/>
  <c r="N78" i="80" s="1"/>
  <c r="K77" i="80"/>
  <c r="N77" i="80" s="1"/>
  <c r="K76" i="80"/>
  <c r="N76" i="80" s="1"/>
  <c r="K75" i="80"/>
  <c r="N75" i="80" s="1"/>
  <c r="K74" i="80"/>
  <c r="N74" i="80" s="1"/>
  <c r="K73" i="80"/>
  <c r="N73" i="80" s="1"/>
  <c r="K72" i="80"/>
  <c r="N72" i="80" s="1"/>
  <c r="K71" i="80"/>
  <c r="N71" i="80" s="1"/>
  <c r="K70" i="80"/>
  <c r="N70" i="80" s="1"/>
  <c r="K69" i="80"/>
  <c r="N69" i="80" s="1"/>
  <c r="K68" i="80"/>
  <c r="N68" i="80" s="1"/>
  <c r="K67" i="80"/>
  <c r="N67" i="80" s="1"/>
  <c r="K66" i="80"/>
  <c r="N66" i="80" s="1"/>
  <c r="K65" i="80"/>
  <c r="N65" i="80" s="1"/>
  <c r="K64" i="80"/>
  <c r="N64" i="80" s="1"/>
  <c r="K63" i="80"/>
  <c r="N63" i="80" s="1"/>
  <c r="K62" i="80"/>
  <c r="N62" i="80" s="1"/>
  <c r="K61" i="80"/>
  <c r="N61" i="80" s="1"/>
  <c r="K60" i="80"/>
  <c r="N60" i="80" s="1"/>
  <c r="K59" i="80"/>
  <c r="N59" i="80" s="1"/>
  <c r="K58" i="80"/>
  <c r="N58" i="80" s="1"/>
  <c r="K57" i="80"/>
  <c r="N57" i="80" s="1"/>
  <c r="K56" i="80"/>
  <c r="N56" i="80" s="1"/>
  <c r="K55" i="80"/>
  <c r="N55" i="80" s="1"/>
  <c r="K54" i="80"/>
  <c r="N54" i="80" s="1"/>
  <c r="K53" i="80"/>
  <c r="N53" i="80" s="1"/>
  <c r="K52" i="80"/>
  <c r="N52" i="80" s="1"/>
  <c r="K51" i="80"/>
  <c r="N51" i="80" s="1"/>
  <c r="K50" i="80"/>
  <c r="N50" i="80" s="1"/>
  <c r="K49" i="80"/>
  <c r="N49" i="80" s="1"/>
  <c r="K48" i="80"/>
  <c r="N48" i="80" s="1"/>
  <c r="K47" i="80"/>
  <c r="N47" i="80" s="1"/>
  <c r="K46" i="80"/>
  <c r="N46" i="80" s="1"/>
  <c r="K45" i="80"/>
  <c r="N45" i="80" s="1"/>
  <c r="K44" i="80"/>
  <c r="N44" i="80" s="1"/>
  <c r="K43" i="80"/>
  <c r="N43" i="80" s="1"/>
  <c r="K42" i="80"/>
  <c r="N42" i="80" s="1"/>
  <c r="K41" i="80"/>
  <c r="N41" i="80" s="1"/>
  <c r="K40" i="80"/>
  <c r="N40" i="80" s="1"/>
  <c r="K39" i="80"/>
  <c r="N39" i="80" s="1"/>
  <c r="K38" i="80"/>
  <c r="N38" i="80" s="1"/>
  <c r="K37" i="80"/>
  <c r="N37" i="80" s="1"/>
  <c r="K36" i="80"/>
  <c r="N36" i="80" s="1"/>
  <c r="K35" i="80"/>
  <c r="N35" i="80" s="1"/>
  <c r="K34" i="80"/>
  <c r="N34" i="80" s="1"/>
  <c r="K33" i="80"/>
  <c r="N33" i="80" s="1"/>
  <c r="K32" i="80"/>
  <c r="N32" i="80" s="1"/>
  <c r="K31" i="80"/>
  <c r="N31" i="80" s="1"/>
  <c r="K30" i="80"/>
  <c r="N30" i="80" s="1"/>
  <c r="K29" i="80"/>
  <c r="N29" i="80" s="1"/>
  <c r="K28" i="80"/>
  <c r="N28" i="80" s="1"/>
  <c r="K27" i="80"/>
  <c r="N27" i="80" s="1"/>
  <c r="K26" i="80"/>
  <c r="N26" i="80" s="1"/>
  <c r="K25" i="80"/>
  <c r="N25" i="80" s="1"/>
  <c r="K24" i="80"/>
  <c r="N24" i="80" s="1"/>
  <c r="K23" i="80"/>
  <c r="N23" i="80" s="1"/>
  <c r="K22" i="80"/>
  <c r="N22" i="80" s="1"/>
  <c r="K21" i="80"/>
  <c r="N21" i="80" s="1"/>
  <c r="K20" i="80"/>
  <c r="N20" i="80" s="1"/>
  <c r="K19" i="80"/>
  <c r="N19" i="80" s="1"/>
  <c r="K18" i="80"/>
  <c r="N18" i="80" s="1"/>
  <c r="K17" i="80"/>
  <c r="N17" i="80" s="1"/>
  <c r="K16" i="80"/>
  <c r="N16" i="80" s="1"/>
  <c r="U15" i="80"/>
  <c r="Y10" i="80" s="1"/>
  <c r="K15" i="80"/>
  <c r="N15" i="80" s="1"/>
  <c r="U14" i="80"/>
  <c r="K14" i="80"/>
  <c r="N14" i="80" s="1"/>
  <c r="U13" i="80"/>
  <c r="K13" i="80"/>
  <c r="N13" i="80" s="1"/>
  <c r="K12" i="80"/>
  <c r="N12" i="80" s="1"/>
  <c r="K11" i="80"/>
  <c r="N11" i="80" s="1"/>
  <c r="U10" i="80"/>
  <c r="K10" i="80"/>
  <c r="N10" i="80" s="1"/>
  <c r="U9" i="80"/>
  <c r="Y17" i="80" s="1"/>
  <c r="K9" i="80"/>
  <c r="N9" i="80" s="1"/>
  <c r="K8" i="80"/>
  <c r="N8" i="80" s="1"/>
  <c r="K101" i="79"/>
  <c r="N101" i="79" s="1"/>
  <c r="K100" i="79"/>
  <c r="N100" i="79" s="1"/>
  <c r="K99" i="79"/>
  <c r="N99" i="79" s="1"/>
  <c r="K98" i="79"/>
  <c r="N98" i="79" s="1"/>
  <c r="K97" i="79"/>
  <c r="N97" i="79" s="1"/>
  <c r="K96" i="79"/>
  <c r="N96" i="79" s="1"/>
  <c r="K95" i="79"/>
  <c r="N95" i="79" s="1"/>
  <c r="K94" i="79"/>
  <c r="N94" i="79" s="1"/>
  <c r="K93" i="79"/>
  <c r="N93" i="79" s="1"/>
  <c r="K92" i="79"/>
  <c r="N92" i="79" s="1"/>
  <c r="K91" i="79"/>
  <c r="N91" i="79" s="1"/>
  <c r="K90" i="79"/>
  <c r="N90" i="79" s="1"/>
  <c r="K89" i="79"/>
  <c r="N89" i="79" s="1"/>
  <c r="K88" i="79"/>
  <c r="N88" i="79" s="1"/>
  <c r="K87" i="79"/>
  <c r="N87" i="79" s="1"/>
  <c r="K86" i="79"/>
  <c r="N86" i="79" s="1"/>
  <c r="K85" i="79"/>
  <c r="N85" i="79" s="1"/>
  <c r="K84" i="79"/>
  <c r="N84" i="79" s="1"/>
  <c r="K83" i="79"/>
  <c r="N83" i="79" s="1"/>
  <c r="K82" i="79"/>
  <c r="N82" i="79" s="1"/>
  <c r="K81" i="79"/>
  <c r="N81" i="79" s="1"/>
  <c r="K80" i="79"/>
  <c r="N80" i="79" s="1"/>
  <c r="K79" i="79"/>
  <c r="N79" i="79" s="1"/>
  <c r="K78" i="79"/>
  <c r="N78" i="79" s="1"/>
  <c r="K77" i="79"/>
  <c r="N77" i="79" s="1"/>
  <c r="K76" i="79"/>
  <c r="N76" i="79" s="1"/>
  <c r="K75" i="79"/>
  <c r="N75" i="79" s="1"/>
  <c r="K74" i="79"/>
  <c r="N74" i="79" s="1"/>
  <c r="K73" i="79"/>
  <c r="N73" i="79" s="1"/>
  <c r="K72" i="79"/>
  <c r="N72" i="79" s="1"/>
  <c r="K71" i="79"/>
  <c r="N71" i="79" s="1"/>
  <c r="K70" i="79"/>
  <c r="N70" i="79" s="1"/>
  <c r="K69" i="79"/>
  <c r="N69" i="79" s="1"/>
  <c r="K68" i="79"/>
  <c r="N68" i="79" s="1"/>
  <c r="K67" i="79"/>
  <c r="N67" i="79" s="1"/>
  <c r="K66" i="79"/>
  <c r="N66" i="79" s="1"/>
  <c r="K65" i="79"/>
  <c r="N65" i="79" s="1"/>
  <c r="K64" i="79"/>
  <c r="N64" i="79" s="1"/>
  <c r="K63" i="79"/>
  <c r="N63" i="79" s="1"/>
  <c r="K62" i="79"/>
  <c r="N62" i="79" s="1"/>
  <c r="K61" i="79"/>
  <c r="N61" i="79" s="1"/>
  <c r="K60" i="79"/>
  <c r="N60" i="79" s="1"/>
  <c r="K59" i="79"/>
  <c r="N59" i="79" s="1"/>
  <c r="K58" i="79"/>
  <c r="N58" i="79" s="1"/>
  <c r="K57" i="79"/>
  <c r="N57" i="79" s="1"/>
  <c r="K56" i="79"/>
  <c r="N56" i="79" s="1"/>
  <c r="K55" i="79"/>
  <c r="N55" i="79" s="1"/>
  <c r="K54" i="79"/>
  <c r="N54" i="79" s="1"/>
  <c r="K53" i="79"/>
  <c r="N53" i="79" s="1"/>
  <c r="K52" i="79"/>
  <c r="N52" i="79" s="1"/>
  <c r="K51" i="79"/>
  <c r="N51" i="79" s="1"/>
  <c r="K50" i="79"/>
  <c r="N50" i="79" s="1"/>
  <c r="K49" i="79"/>
  <c r="N49" i="79" s="1"/>
  <c r="K48" i="79"/>
  <c r="N48" i="79" s="1"/>
  <c r="K47" i="79"/>
  <c r="N47" i="79" s="1"/>
  <c r="K46" i="79"/>
  <c r="N46" i="79" s="1"/>
  <c r="K45" i="79"/>
  <c r="N45" i="79" s="1"/>
  <c r="K44" i="79"/>
  <c r="N44" i="79" s="1"/>
  <c r="K43" i="79"/>
  <c r="N43" i="79" s="1"/>
  <c r="K42" i="79"/>
  <c r="N42" i="79" s="1"/>
  <c r="K41" i="79"/>
  <c r="N41" i="79" s="1"/>
  <c r="K40" i="79"/>
  <c r="N40" i="79" s="1"/>
  <c r="K39" i="79"/>
  <c r="N39" i="79" s="1"/>
  <c r="K38" i="79"/>
  <c r="N38" i="79" s="1"/>
  <c r="K37" i="79"/>
  <c r="N37" i="79" s="1"/>
  <c r="K36" i="79"/>
  <c r="N36" i="79" s="1"/>
  <c r="K35" i="79"/>
  <c r="N35" i="79" s="1"/>
  <c r="K34" i="79"/>
  <c r="N34" i="79" s="1"/>
  <c r="K33" i="79"/>
  <c r="N33" i="79" s="1"/>
  <c r="K32" i="79"/>
  <c r="N32" i="79" s="1"/>
  <c r="K31" i="79"/>
  <c r="N31" i="79" s="1"/>
  <c r="K30" i="79"/>
  <c r="N30" i="79" s="1"/>
  <c r="K29" i="79"/>
  <c r="N29" i="79" s="1"/>
  <c r="K28" i="79"/>
  <c r="N28" i="79" s="1"/>
  <c r="K27" i="79"/>
  <c r="N27" i="79" s="1"/>
  <c r="K26" i="79"/>
  <c r="N26" i="79" s="1"/>
  <c r="K25" i="79"/>
  <c r="N25" i="79" s="1"/>
  <c r="K24" i="79"/>
  <c r="N24" i="79" s="1"/>
  <c r="K23" i="79"/>
  <c r="N23" i="79" s="1"/>
  <c r="K22" i="79"/>
  <c r="N22" i="79" s="1"/>
  <c r="K21" i="79"/>
  <c r="N21" i="79" s="1"/>
  <c r="K20" i="79"/>
  <c r="N20" i="79" s="1"/>
  <c r="K19" i="79"/>
  <c r="N19" i="79" s="1"/>
  <c r="K18" i="79"/>
  <c r="N18" i="79" s="1"/>
  <c r="K17" i="79"/>
  <c r="N17" i="79" s="1"/>
  <c r="K16" i="79"/>
  <c r="N16" i="79" s="1"/>
  <c r="U15" i="79"/>
  <c r="Y10" i="79" s="1"/>
  <c r="K15" i="79"/>
  <c r="N15" i="79" s="1"/>
  <c r="U14" i="79"/>
  <c r="K14" i="79"/>
  <c r="N14" i="79" s="1"/>
  <c r="U13" i="79"/>
  <c r="K13" i="79"/>
  <c r="N13" i="79" s="1"/>
  <c r="K12" i="79"/>
  <c r="N12" i="79" s="1"/>
  <c r="K11" i="79"/>
  <c r="N11" i="79" s="1"/>
  <c r="U10" i="79"/>
  <c r="K10" i="79"/>
  <c r="N10" i="79" s="1"/>
  <c r="U9" i="79"/>
  <c r="Y17" i="79" s="1"/>
  <c r="K9" i="79"/>
  <c r="N9" i="79" s="1"/>
  <c r="K8" i="79"/>
  <c r="K101" i="78"/>
  <c r="N101" i="78" s="1"/>
  <c r="K100" i="78"/>
  <c r="N100" i="78" s="1"/>
  <c r="K99" i="78"/>
  <c r="N99" i="78" s="1"/>
  <c r="K98" i="78"/>
  <c r="N98" i="78" s="1"/>
  <c r="K97" i="78"/>
  <c r="N97" i="78" s="1"/>
  <c r="K96" i="78"/>
  <c r="N96" i="78" s="1"/>
  <c r="K95" i="78"/>
  <c r="N95" i="78" s="1"/>
  <c r="K94" i="78"/>
  <c r="N94" i="78" s="1"/>
  <c r="K93" i="78"/>
  <c r="N93" i="78" s="1"/>
  <c r="K92" i="78"/>
  <c r="N92" i="78" s="1"/>
  <c r="K91" i="78"/>
  <c r="N91" i="78" s="1"/>
  <c r="K90" i="78"/>
  <c r="N90" i="78" s="1"/>
  <c r="K89" i="78"/>
  <c r="N89" i="78" s="1"/>
  <c r="K88" i="78"/>
  <c r="N88" i="78" s="1"/>
  <c r="K87" i="78"/>
  <c r="N87" i="78" s="1"/>
  <c r="K86" i="78"/>
  <c r="N86" i="78" s="1"/>
  <c r="K85" i="78"/>
  <c r="N85" i="78" s="1"/>
  <c r="K84" i="78"/>
  <c r="N84" i="78" s="1"/>
  <c r="K83" i="78"/>
  <c r="N83" i="78" s="1"/>
  <c r="K82" i="78"/>
  <c r="N82" i="78" s="1"/>
  <c r="K81" i="78"/>
  <c r="N81" i="78" s="1"/>
  <c r="K80" i="78"/>
  <c r="N80" i="78" s="1"/>
  <c r="K79" i="78"/>
  <c r="N79" i="78" s="1"/>
  <c r="K78" i="78"/>
  <c r="N78" i="78" s="1"/>
  <c r="K77" i="78"/>
  <c r="N77" i="78" s="1"/>
  <c r="K76" i="78"/>
  <c r="N76" i="78" s="1"/>
  <c r="K75" i="78"/>
  <c r="N75" i="78" s="1"/>
  <c r="K74" i="78"/>
  <c r="N74" i="78" s="1"/>
  <c r="K73" i="78"/>
  <c r="N73" i="78" s="1"/>
  <c r="K72" i="78"/>
  <c r="N72" i="78" s="1"/>
  <c r="K71" i="78"/>
  <c r="N71" i="78" s="1"/>
  <c r="K70" i="78"/>
  <c r="N70" i="78" s="1"/>
  <c r="K69" i="78"/>
  <c r="N69" i="78" s="1"/>
  <c r="K68" i="78"/>
  <c r="N68" i="78" s="1"/>
  <c r="K67" i="78"/>
  <c r="N67" i="78" s="1"/>
  <c r="K66" i="78"/>
  <c r="N66" i="78" s="1"/>
  <c r="K65" i="78"/>
  <c r="N65" i="78" s="1"/>
  <c r="K64" i="78"/>
  <c r="N64" i="78" s="1"/>
  <c r="K63" i="78"/>
  <c r="N63" i="78" s="1"/>
  <c r="K62" i="78"/>
  <c r="N62" i="78" s="1"/>
  <c r="K61" i="78"/>
  <c r="N61" i="78" s="1"/>
  <c r="K60" i="78"/>
  <c r="N60" i="78" s="1"/>
  <c r="K59" i="78"/>
  <c r="N59" i="78" s="1"/>
  <c r="K58" i="78"/>
  <c r="N58" i="78" s="1"/>
  <c r="K57" i="78"/>
  <c r="N57" i="78" s="1"/>
  <c r="K56" i="78"/>
  <c r="N56" i="78" s="1"/>
  <c r="K55" i="78"/>
  <c r="N55" i="78" s="1"/>
  <c r="K54" i="78"/>
  <c r="N54" i="78" s="1"/>
  <c r="K53" i="78"/>
  <c r="N53" i="78" s="1"/>
  <c r="K52" i="78"/>
  <c r="N52" i="78" s="1"/>
  <c r="K51" i="78"/>
  <c r="N51" i="78" s="1"/>
  <c r="K50" i="78"/>
  <c r="N50" i="78" s="1"/>
  <c r="K49" i="78"/>
  <c r="N49" i="78" s="1"/>
  <c r="K48" i="78"/>
  <c r="N48" i="78" s="1"/>
  <c r="K47" i="78"/>
  <c r="N47" i="78" s="1"/>
  <c r="K46" i="78"/>
  <c r="N46" i="78" s="1"/>
  <c r="K45" i="78"/>
  <c r="N45" i="78" s="1"/>
  <c r="K44" i="78"/>
  <c r="N44" i="78" s="1"/>
  <c r="K43" i="78"/>
  <c r="N43" i="78" s="1"/>
  <c r="K42" i="78"/>
  <c r="N42" i="78" s="1"/>
  <c r="K41" i="78"/>
  <c r="N41" i="78" s="1"/>
  <c r="K40" i="78"/>
  <c r="N40" i="78" s="1"/>
  <c r="K39" i="78"/>
  <c r="N39" i="78" s="1"/>
  <c r="K38" i="78"/>
  <c r="N38" i="78" s="1"/>
  <c r="K37" i="78"/>
  <c r="N37" i="78" s="1"/>
  <c r="K36" i="78"/>
  <c r="N36" i="78" s="1"/>
  <c r="K35" i="78"/>
  <c r="N35" i="78" s="1"/>
  <c r="K34" i="78"/>
  <c r="N34" i="78" s="1"/>
  <c r="K33" i="78"/>
  <c r="N33" i="78" s="1"/>
  <c r="K32" i="78"/>
  <c r="N32" i="78" s="1"/>
  <c r="K31" i="78"/>
  <c r="N31" i="78" s="1"/>
  <c r="K30" i="78"/>
  <c r="N30" i="78" s="1"/>
  <c r="K29" i="78"/>
  <c r="N29" i="78" s="1"/>
  <c r="K28" i="78"/>
  <c r="N28" i="78" s="1"/>
  <c r="K27" i="78"/>
  <c r="N27" i="78" s="1"/>
  <c r="K26" i="78"/>
  <c r="N26" i="78" s="1"/>
  <c r="K25" i="78"/>
  <c r="N25" i="78" s="1"/>
  <c r="K24" i="78"/>
  <c r="N24" i="78" s="1"/>
  <c r="K23" i="78"/>
  <c r="N23" i="78" s="1"/>
  <c r="K22" i="78"/>
  <c r="N22" i="78" s="1"/>
  <c r="K21" i="78"/>
  <c r="N21" i="78" s="1"/>
  <c r="K20" i="78"/>
  <c r="N20" i="78" s="1"/>
  <c r="K19" i="78"/>
  <c r="N19" i="78" s="1"/>
  <c r="K18" i="78"/>
  <c r="N18" i="78" s="1"/>
  <c r="K17" i="78"/>
  <c r="N17" i="78" s="1"/>
  <c r="K16" i="78"/>
  <c r="N16" i="78" s="1"/>
  <c r="U15" i="78"/>
  <c r="Y10" i="78" s="1"/>
  <c r="K15" i="78"/>
  <c r="N15" i="78" s="1"/>
  <c r="U14" i="78"/>
  <c r="K14" i="78"/>
  <c r="N14" i="78" s="1"/>
  <c r="U13" i="78"/>
  <c r="K13" i="78"/>
  <c r="N13" i="78" s="1"/>
  <c r="K12" i="78"/>
  <c r="N12" i="78" s="1"/>
  <c r="K11" i="78"/>
  <c r="N11" i="78" s="1"/>
  <c r="U10" i="78"/>
  <c r="K10" i="78"/>
  <c r="N10" i="78" s="1"/>
  <c r="U9" i="78"/>
  <c r="Y17" i="78" s="1"/>
  <c r="K9" i="78"/>
  <c r="N9" i="78" s="1"/>
  <c r="K8" i="78"/>
  <c r="N8" i="78" s="1"/>
  <c r="K101" i="77"/>
  <c r="N101" i="77" s="1"/>
  <c r="K100" i="77"/>
  <c r="N100" i="77" s="1"/>
  <c r="K99" i="77"/>
  <c r="N99" i="77" s="1"/>
  <c r="K98" i="77"/>
  <c r="N98" i="77" s="1"/>
  <c r="K97" i="77"/>
  <c r="N97" i="77" s="1"/>
  <c r="K96" i="77"/>
  <c r="N96" i="77" s="1"/>
  <c r="K95" i="77"/>
  <c r="N95" i="77" s="1"/>
  <c r="K94" i="77"/>
  <c r="N94" i="77" s="1"/>
  <c r="K93" i="77"/>
  <c r="N93" i="77" s="1"/>
  <c r="K92" i="77"/>
  <c r="N92" i="77" s="1"/>
  <c r="K91" i="77"/>
  <c r="N91" i="77" s="1"/>
  <c r="K90" i="77"/>
  <c r="N90" i="77" s="1"/>
  <c r="K89" i="77"/>
  <c r="N89" i="77" s="1"/>
  <c r="K88" i="77"/>
  <c r="N88" i="77" s="1"/>
  <c r="K87" i="77"/>
  <c r="N87" i="77" s="1"/>
  <c r="K86" i="77"/>
  <c r="N86" i="77" s="1"/>
  <c r="K85" i="77"/>
  <c r="N85" i="77" s="1"/>
  <c r="K84" i="77"/>
  <c r="N84" i="77" s="1"/>
  <c r="K83" i="77"/>
  <c r="N83" i="77" s="1"/>
  <c r="K82" i="77"/>
  <c r="N82" i="77" s="1"/>
  <c r="K81" i="77"/>
  <c r="N81" i="77" s="1"/>
  <c r="K80" i="77"/>
  <c r="N80" i="77" s="1"/>
  <c r="K79" i="77"/>
  <c r="N79" i="77" s="1"/>
  <c r="K78" i="77"/>
  <c r="N78" i="77" s="1"/>
  <c r="K77" i="77"/>
  <c r="N77" i="77" s="1"/>
  <c r="K76" i="77"/>
  <c r="N76" i="77" s="1"/>
  <c r="K75" i="77"/>
  <c r="N75" i="77" s="1"/>
  <c r="K74" i="77"/>
  <c r="N74" i="77" s="1"/>
  <c r="K73" i="77"/>
  <c r="N73" i="77" s="1"/>
  <c r="K72" i="77"/>
  <c r="N72" i="77" s="1"/>
  <c r="K71" i="77"/>
  <c r="N71" i="77" s="1"/>
  <c r="K70" i="77"/>
  <c r="N70" i="77" s="1"/>
  <c r="K69" i="77"/>
  <c r="N69" i="77" s="1"/>
  <c r="K68" i="77"/>
  <c r="N68" i="77" s="1"/>
  <c r="K67" i="77"/>
  <c r="N67" i="77" s="1"/>
  <c r="K66" i="77"/>
  <c r="N66" i="77" s="1"/>
  <c r="K65" i="77"/>
  <c r="N65" i="77" s="1"/>
  <c r="K64" i="77"/>
  <c r="N64" i="77" s="1"/>
  <c r="K63" i="77"/>
  <c r="N63" i="77" s="1"/>
  <c r="K62" i="77"/>
  <c r="N62" i="77" s="1"/>
  <c r="K61" i="77"/>
  <c r="N61" i="77" s="1"/>
  <c r="K60" i="77"/>
  <c r="N60" i="77" s="1"/>
  <c r="K59" i="77"/>
  <c r="N59" i="77" s="1"/>
  <c r="K58" i="77"/>
  <c r="N58" i="77" s="1"/>
  <c r="K57" i="77"/>
  <c r="N57" i="77" s="1"/>
  <c r="K56" i="77"/>
  <c r="N56" i="77" s="1"/>
  <c r="K55" i="77"/>
  <c r="N55" i="77" s="1"/>
  <c r="K54" i="77"/>
  <c r="N54" i="77" s="1"/>
  <c r="K53" i="77"/>
  <c r="N53" i="77" s="1"/>
  <c r="K52" i="77"/>
  <c r="N52" i="77" s="1"/>
  <c r="K51" i="77"/>
  <c r="N51" i="77" s="1"/>
  <c r="K50" i="77"/>
  <c r="N50" i="77" s="1"/>
  <c r="K49" i="77"/>
  <c r="N49" i="77" s="1"/>
  <c r="K48" i="77"/>
  <c r="N48" i="77" s="1"/>
  <c r="K47" i="77"/>
  <c r="N47" i="77" s="1"/>
  <c r="K46" i="77"/>
  <c r="N46" i="77" s="1"/>
  <c r="K45" i="77"/>
  <c r="N45" i="77" s="1"/>
  <c r="K44" i="77"/>
  <c r="N44" i="77" s="1"/>
  <c r="K43" i="77"/>
  <c r="N43" i="77" s="1"/>
  <c r="K42" i="77"/>
  <c r="N42" i="77" s="1"/>
  <c r="K41" i="77"/>
  <c r="N41" i="77" s="1"/>
  <c r="K40" i="77"/>
  <c r="N40" i="77" s="1"/>
  <c r="K39" i="77"/>
  <c r="N39" i="77" s="1"/>
  <c r="K38" i="77"/>
  <c r="N38" i="77" s="1"/>
  <c r="K37" i="77"/>
  <c r="N37" i="77" s="1"/>
  <c r="K36" i="77"/>
  <c r="N36" i="77" s="1"/>
  <c r="K35" i="77"/>
  <c r="N35" i="77" s="1"/>
  <c r="K34" i="77"/>
  <c r="N34" i="77" s="1"/>
  <c r="K33" i="77"/>
  <c r="N33" i="77" s="1"/>
  <c r="K32" i="77"/>
  <c r="N32" i="77" s="1"/>
  <c r="K31" i="77"/>
  <c r="N31" i="77" s="1"/>
  <c r="K30" i="77"/>
  <c r="N30" i="77" s="1"/>
  <c r="K29" i="77"/>
  <c r="N29" i="77" s="1"/>
  <c r="K28" i="77"/>
  <c r="N28" i="77" s="1"/>
  <c r="K27" i="77"/>
  <c r="N27" i="77" s="1"/>
  <c r="K26" i="77"/>
  <c r="N26" i="77" s="1"/>
  <c r="K25" i="77"/>
  <c r="N25" i="77" s="1"/>
  <c r="K24" i="77"/>
  <c r="N24" i="77" s="1"/>
  <c r="K23" i="77"/>
  <c r="N23" i="77" s="1"/>
  <c r="K22" i="77"/>
  <c r="N22" i="77" s="1"/>
  <c r="K21" i="77"/>
  <c r="N21" i="77" s="1"/>
  <c r="K20" i="77"/>
  <c r="N20" i="77" s="1"/>
  <c r="K19" i="77"/>
  <c r="N19" i="77" s="1"/>
  <c r="K18" i="77"/>
  <c r="N18" i="77" s="1"/>
  <c r="K17" i="77"/>
  <c r="N17" i="77" s="1"/>
  <c r="K16" i="77"/>
  <c r="N16" i="77" s="1"/>
  <c r="U15" i="77"/>
  <c r="Y10" i="77" s="1"/>
  <c r="K15" i="77"/>
  <c r="N15" i="77" s="1"/>
  <c r="U14" i="77"/>
  <c r="K14" i="77"/>
  <c r="N14" i="77" s="1"/>
  <c r="U13" i="77"/>
  <c r="K13" i="77"/>
  <c r="N13" i="77" s="1"/>
  <c r="K12" i="77"/>
  <c r="N12" i="77" s="1"/>
  <c r="K11" i="77"/>
  <c r="N11" i="77" s="1"/>
  <c r="U10" i="77"/>
  <c r="K10" i="77"/>
  <c r="N10" i="77" s="1"/>
  <c r="U9" i="77"/>
  <c r="Y17" i="77" s="1"/>
  <c r="K9" i="77"/>
  <c r="N9" i="77" s="1"/>
  <c r="K8" i="77"/>
  <c r="N8" i="77" s="1"/>
  <c r="K101" i="76"/>
  <c r="N101" i="76" s="1"/>
  <c r="K100" i="76"/>
  <c r="N100" i="76" s="1"/>
  <c r="K99" i="76"/>
  <c r="N99" i="76" s="1"/>
  <c r="K98" i="76"/>
  <c r="N98" i="76" s="1"/>
  <c r="K97" i="76"/>
  <c r="N97" i="76" s="1"/>
  <c r="K96" i="76"/>
  <c r="N96" i="76" s="1"/>
  <c r="K95" i="76"/>
  <c r="N95" i="76" s="1"/>
  <c r="K94" i="76"/>
  <c r="N94" i="76" s="1"/>
  <c r="K93" i="76"/>
  <c r="N93" i="76" s="1"/>
  <c r="K92" i="76"/>
  <c r="N92" i="76" s="1"/>
  <c r="K91" i="76"/>
  <c r="N91" i="76" s="1"/>
  <c r="K90" i="76"/>
  <c r="N90" i="76" s="1"/>
  <c r="K89" i="76"/>
  <c r="N89" i="76" s="1"/>
  <c r="K88" i="76"/>
  <c r="N88" i="76" s="1"/>
  <c r="K87" i="76"/>
  <c r="N87" i="76" s="1"/>
  <c r="K86" i="76"/>
  <c r="N86" i="76" s="1"/>
  <c r="K85" i="76"/>
  <c r="N85" i="76" s="1"/>
  <c r="K84" i="76"/>
  <c r="N84" i="76" s="1"/>
  <c r="K83" i="76"/>
  <c r="N83" i="76" s="1"/>
  <c r="K82" i="76"/>
  <c r="N82" i="76" s="1"/>
  <c r="K81" i="76"/>
  <c r="N81" i="76" s="1"/>
  <c r="K80" i="76"/>
  <c r="N80" i="76" s="1"/>
  <c r="K79" i="76"/>
  <c r="N79" i="76" s="1"/>
  <c r="K78" i="76"/>
  <c r="N78" i="76" s="1"/>
  <c r="K77" i="76"/>
  <c r="N77" i="76" s="1"/>
  <c r="K76" i="76"/>
  <c r="N76" i="76" s="1"/>
  <c r="K75" i="76"/>
  <c r="N75" i="76" s="1"/>
  <c r="K74" i="76"/>
  <c r="N74" i="76" s="1"/>
  <c r="K73" i="76"/>
  <c r="N73" i="76" s="1"/>
  <c r="K72" i="76"/>
  <c r="N72" i="76" s="1"/>
  <c r="K71" i="76"/>
  <c r="N71" i="76" s="1"/>
  <c r="K70" i="76"/>
  <c r="N70" i="76" s="1"/>
  <c r="K69" i="76"/>
  <c r="N69" i="76" s="1"/>
  <c r="K68" i="76"/>
  <c r="N68" i="76" s="1"/>
  <c r="K67" i="76"/>
  <c r="N67" i="76" s="1"/>
  <c r="K66" i="76"/>
  <c r="N66" i="76" s="1"/>
  <c r="K65" i="76"/>
  <c r="N65" i="76" s="1"/>
  <c r="K64" i="76"/>
  <c r="N64" i="76" s="1"/>
  <c r="K63" i="76"/>
  <c r="N63" i="76" s="1"/>
  <c r="K62" i="76"/>
  <c r="N62" i="76" s="1"/>
  <c r="K61" i="76"/>
  <c r="N61" i="76" s="1"/>
  <c r="K60" i="76"/>
  <c r="N60" i="76" s="1"/>
  <c r="K59" i="76"/>
  <c r="N59" i="76" s="1"/>
  <c r="K58" i="76"/>
  <c r="N58" i="76" s="1"/>
  <c r="K57" i="76"/>
  <c r="N57" i="76" s="1"/>
  <c r="K56" i="76"/>
  <c r="N56" i="76" s="1"/>
  <c r="K55" i="76"/>
  <c r="N55" i="76" s="1"/>
  <c r="K54" i="76"/>
  <c r="N54" i="76" s="1"/>
  <c r="K53" i="76"/>
  <c r="N53" i="76" s="1"/>
  <c r="K52" i="76"/>
  <c r="N52" i="76" s="1"/>
  <c r="K51" i="76"/>
  <c r="N51" i="76" s="1"/>
  <c r="K50" i="76"/>
  <c r="N50" i="76" s="1"/>
  <c r="K49" i="76"/>
  <c r="N49" i="76" s="1"/>
  <c r="K48" i="76"/>
  <c r="N48" i="76" s="1"/>
  <c r="K47" i="76"/>
  <c r="N47" i="76" s="1"/>
  <c r="K46" i="76"/>
  <c r="N46" i="76" s="1"/>
  <c r="K45" i="76"/>
  <c r="N45" i="76" s="1"/>
  <c r="K44" i="76"/>
  <c r="N44" i="76" s="1"/>
  <c r="K43" i="76"/>
  <c r="N43" i="76" s="1"/>
  <c r="K42" i="76"/>
  <c r="N42" i="76" s="1"/>
  <c r="K41" i="76"/>
  <c r="N41" i="76" s="1"/>
  <c r="K40" i="76"/>
  <c r="N40" i="76" s="1"/>
  <c r="K39" i="76"/>
  <c r="N39" i="76" s="1"/>
  <c r="K38" i="76"/>
  <c r="N38" i="76" s="1"/>
  <c r="K37" i="76"/>
  <c r="N37" i="76" s="1"/>
  <c r="K36" i="76"/>
  <c r="N36" i="76" s="1"/>
  <c r="K35" i="76"/>
  <c r="N35" i="76" s="1"/>
  <c r="K34" i="76"/>
  <c r="N34" i="76" s="1"/>
  <c r="K33" i="76"/>
  <c r="N33" i="76" s="1"/>
  <c r="K32" i="76"/>
  <c r="N32" i="76" s="1"/>
  <c r="K31" i="76"/>
  <c r="N31" i="76" s="1"/>
  <c r="K30" i="76"/>
  <c r="N30" i="76" s="1"/>
  <c r="K29" i="76"/>
  <c r="N29" i="76" s="1"/>
  <c r="K28" i="76"/>
  <c r="N28" i="76" s="1"/>
  <c r="K27" i="76"/>
  <c r="N27" i="76" s="1"/>
  <c r="K26" i="76"/>
  <c r="N26" i="76" s="1"/>
  <c r="K25" i="76"/>
  <c r="N25" i="76" s="1"/>
  <c r="K24" i="76"/>
  <c r="N24" i="76" s="1"/>
  <c r="K23" i="76"/>
  <c r="N23" i="76" s="1"/>
  <c r="K22" i="76"/>
  <c r="N22" i="76" s="1"/>
  <c r="K21" i="76"/>
  <c r="N21" i="76" s="1"/>
  <c r="K20" i="76"/>
  <c r="N20" i="76" s="1"/>
  <c r="K19" i="76"/>
  <c r="N19" i="76" s="1"/>
  <c r="K18" i="76"/>
  <c r="N18" i="76" s="1"/>
  <c r="K17" i="76"/>
  <c r="N17" i="76" s="1"/>
  <c r="K16" i="76"/>
  <c r="N16" i="76" s="1"/>
  <c r="U15" i="76"/>
  <c r="Y10" i="76" s="1"/>
  <c r="K15" i="76"/>
  <c r="N15" i="76" s="1"/>
  <c r="U14" i="76"/>
  <c r="K14" i="76"/>
  <c r="N14" i="76" s="1"/>
  <c r="U13" i="76"/>
  <c r="K13" i="76"/>
  <c r="N13" i="76" s="1"/>
  <c r="K12" i="76"/>
  <c r="N12" i="76" s="1"/>
  <c r="K11" i="76"/>
  <c r="N11" i="76" s="1"/>
  <c r="U10" i="76"/>
  <c r="K10" i="76"/>
  <c r="N10" i="76" s="1"/>
  <c r="U9" i="76"/>
  <c r="Y17" i="76" s="1"/>
  <c r="K9" i="76"/>
  <c r="N9" i="76" s="1"/>
  <c r="K8" i="76"/>
  <c r="N8" i="76" s="1"/>
  <c r="K101" i="75"/>
  <c r="N101" i="75" s="1"/>
  <c r="K100" i="75"/>
  <c r="N100" i="75" s="1"/>
  <c r="K99" i="75"/>
  <c r="N99" i="75" s="1"/>
  <c r="K98" i="75"/>
  <c r="N98" i="75" s="1"/>
  <c r="K97" i="75"/>
  <c r="N97" i="75" s="1"/>
  <c r="K96" i="75"/>
  <c r="N96" i="75" s="1"/>
  <c r="K95" i="75"/>
  <c r="N95" i="75" s="1"/>
  <c r="K94" i="75"/>
  <c r="N94" i="75" s="1"/>
  <c r="K93" i="75"/>
  <c r="N93" i="75" s="1"/>
  <c r="K92" i="75"/>
  <c r="N92" i="75" s="1"/>
  <c r="K91" i="75"/>
  <c r="N91" i="75" s="1"/>
  <c r="K90" i="75"/>
  <c r="N90" i="75" s="1"/>
  <c r="K89" i="75"/>
  <c r="N89" i="75" s="1"/>
  <c r="K88" i="75"/>
  <c r="N88" i="75" s="1"/>
  <c r="K87" i="75"/>
  <c r="N87" i="75" s="1"/>
  <c r="K86" i="75"/>
  <c r="N86" i="75" s="1"/>
  <c r="K85" i="75"/>
  <c r="N85" i="75" s="1"/>
  <c r="K84" i="75"/>
  <c r="N84" i="75" s="1"/>
  <c r="K83" i="75"/>
  <c r="N83" i="75" s="1"/>
  <c r="K82" i="75"/>
  <c r="N82" i="75" s="1"/>
  <c r="K81" i="75"/>
  <c r="N81" i="75" s="1"/>
  <c r="K80" i="75"/>
  <c r="N80" i="75" s="1"/>
  <c r="K79" i="75"/>
  <c r="N79" i="75" s="1"/>
  <c r="K78" i="75"/>
  <c r="N78" i="75" s="1"/>
  <c r="K77" i="75"/>
  <c r="N77" i="75" s="1"/>
  <c r="K76" i="75"/>
  <c r="N76" i="75" s="1"/>
  <c r="K75" i="75"/>
  <c r="N75" i="75" s="1"/>
  <c r="K74" i="75"/>
  <c r="N74" i="75" s="1"/>
  <c r="K73" i="75"/>
  <c r="N73" i="75" s="1"/>
  <c r="K72" i="75"/>
  <c r="N72" i="75" s="1"/>
  <c r="K71" i="75"/>
  <c r="N71" i="75" s="1"/>
  <c r="K70" i="75"/>
  <c r="N70" i="75" s="1"/>
  <c r="K69" i="75"/>
  <c r="N69" i="75" s="1"/>
  <c r="K68" i="75"/>
  <c r="N68" i="75" s="1"/>
  <c r="K67" i="75"/>
  <c r="N67" i="75" s="1"/>
  <c r="K66" i="75"/>
  <c r="N66" i="75" s="1"/>
  <c r="K65" i="75"/>
  <c r="N65" i="75" s="1"/>
  <c r="K64" i="75"/>
  <c r="N64" i="75" s="1"/>
  <c r="K63" i="75"/>
  <c r="N63" i="75" s="1"/>
  <c r="K62" i="75"/>
  <c r="N62" i="75" s="1"/>
  <c r="K61" i="75"/>
  <c r="N61" i="75" s="1"/>
  <c r="K60" i="75"/>
  <c r="N60" i="75" s="1"/>
  <c r="K59" i="75"/>
  <c r="N59" i="75" s="1"/>
  <c r="K58" i="75"/>
  <c r="N58" i="75" s="1"/>
  <c r="K57" i="75"/>
  <c r="N57" i="75" s="1"/>
  <c r="K56" i="75"/>
  <c r="N56" i="75" s="1"/>
  <c r="K55" i="75"/>
  <c r="N55" i="75" s="1"/>
  <c r="K54" i="75"/>
  <c r="N54" i="75" s="1"/>
  <c r="K53" i="75"/>
  <c r="N53" i="75" s="1"/>
  <c r="K52" i="75"/>
  <c r="N52" i="75" s="1"/>
  <c r="K51" i="75"/>
  <c r="N51" i="75" s="1"/>
  <c r="K50" i="75"/>
  <c r="N50" i="75" s="1"/>
  <c r="K49" i="75"/>
  <c r="N49" i="75" s="1"/>
  <c r="K48" i="75"/>
  <c r="N48" i="75" s="1"/>
  <c r="K47" i="75"/>
  <c r="N47" i="75" s="1"/>
  <c r="K46" i="75"/>
  <c r="N46" i="75" s="1"/>
  <c r="K45" i="75"/>
  <c r="N45" i="75" s="1"/>
  <c r="K44" i="75"/>
  <c r="N44" i="75" s="1"/>
  <c r="K43" i="75"/>
  <c r="N43" i="75" s="1"/>
  <c r="K42" i="75"/>
  <c r="N42" i="75" s="1"/>
  <c r="K41" i="75"/>
  <c r="N41" i="75" s="1"/>
  <c r="K40" i="75"/>
  <c r="N40" i="75" s="1"/>
  <c r="K39" i="75"/>
  <c r="N39" i="75" s="1"/>
  <c r="K38" i="75"/>
  <c r="N38" i="75" s="1"/>
  <c r="K37" i="75"/>
  <c r="N37" i="75" s="1"/>
  <c r="K36" i="75"/>
  <c r="N36" i="75" s="1"/>
  <c r="K35" i="75"/>
  <c r="N35" i="75" s="1"/>
  <c r="K34" i="75"/>
  <c r="N34" i="75" s="1"/>
  <c r="K33" i="75"/>
  <c r="N33" i="75" s="1"/>
  <c r="K32" i="75"/>
  <c r="N32" i="75" s="1"/>
  <c r="K31" i="75"/>
  <c r="N31" i="75" s="1"/>
  <c r="K30" i="75"/>
  <c r="N30" i="75" s="1"/>
  <c r="K29" i="75"/>
  <c r="N29" i="75" s="1"/>
  <c r="K28" i="75"/>
  <c r="N28" i="75" s="1"/>
  <c r="K27" i="75"/>
  <c r="N27" i="75" s="1"/>
  <c r="K26" i="75"/>
  <c r="N26" i="75" s="1"/>
  <c r="K25" i="75"/>
  <c r="N25" i="75" s="1"/>
  <c r="K24" i="75"/>
  <c r="N24" i="75" s="1"/>
  <c r="K23" i="75"/>
  <c r="N23" i="75" s="1"/>
  <c r="K22" i="75"/>
  <c r="N22" i="75" s="1"/>
  <c r="K21" i="75"/>
  <c r="N21" i="75" s="1"/>
  <c r="K20" i="75"/>
  <c r="N20" i="75" s="1"/>
  <c r="K19" i="75"/>
  <c r="N19" i="75" s="1"/>
  <c r="K18" i="75"/>
  <c r="N18" i="75" s="1"/>
  <c r="K17" i="75"/>
  <c r="N17" i="75" s="1"/>
  <c r="K16" i="75"/>
  <c r="N16" i="75" s="1"/>
  <c r="U15" i="75"/>
  <c r="Y10" i="75" s="1"/>
  <c r="K15" i="75"/>
  <c r="N15" i="75" s="1"/>
  <c r="U14" i="75"/>
  <c r="K14" i="75"/>
  <c r="N14" i="75" s="1"/>
  <c r="U13" i="75"/>
  <c r="K13" i="75"/>
  <c r="N13" i="75" s="1"/>
  <c r="K12" i="75"/>
  <c r="N12" i="75" s="1"/>
  <c r="K11" i="75"/>
  <c r="N11" i="75" s="1"/>
  <c r="U10" i="75"/>
  <c r="K10" i="75"/>
  <c r="N10" i="75" s="1"/>
  <c r="U9" i="75"/>
  <c r="Y17" i="75" s="1"/>
  <c r="K9" i="75"/>
  <c r="N9" i="75" s="1"/>
  <c r="K8" i="75"/>
  <c r="K101" i="74"/>
  <c r="N101" i="74" s="1"/>
  <c r="K100" i="74"/>
  <c r="N100" i="74" s="1"/>
  <c r="K99" i="74"/>
  <c r="N99" i="74" s="1"/>
  <c r="K98" i="74"/>
  <c r="N98" i="74" s="1"/>
  <c r="K97" i="74"/>
  <c r="N97" i="74" s="1"/>
  <c r="K96" i="74"/>
  <c r="N96" i="74" s="1"/>
  <c r="K95" i="74"/>
  <c r="N95" i="74" s="1"/>
  <c r="K94" i="74"/>
  <c r="N94" i="74" s="1"/>
  <c r="K93" i="74"/>
  <c r="N93" i="74" s="1"/>
  <c r="K92" i="74"/>
  <c r="N92" i="74" s="1"/>
  <c r="K91" i="74"/>
  <c r="N91" i="74" s="1"/>
  <c r="K90" i="74"/>
  <c r="N90" i="74" s="1"/>
  <c r="K89" i="74"/>
  <c r="N89" i="74" s="1"/>
  <c r="K88" i="74"/>
  <c r="N88" i="74" s="1"/>
  <c r="K87" i="74"/>
  <c r="N87" i="74" s="1"/>
  <c r="K86" i="74"/>
  <c r="N86" i="74" s="1"/>
  <c r="K85" i="74"/>
  <c r="N85" i="74" s="1"/>
  <c r="K84" i="74"/>
  <c r="N84" i="74" s="1"/>
  <c r="K83" i="74"/>
  <c r="N83" i="74" s="1"/>
  <c r="K82" i="74"/>
  <c r="N82" i="74" s="1"/>
  <c r="K81" i="74"/>
  <c r="N81" i="74" s="1"/>
  <c r="K80" i="74"/>
  <c r="N80" i="74" s="1"/>
  <c r="K79" i="74"/>
  <c r="N79" i="74" s="1"/>
  <c r="K78" i="74"/>
  <c r="N78" i="74" s="1"/>
  <c r="K77" i="74"/>
  <c r="N77" i="74" s="1"/>
  <c r="K76" i="74"/>
  <c r="N76" i="74" s="1"/>
  <c r="K75" i="74"/>
  <c r="N75" i="74" s="1"/>
  <c r="K74" i="74"/>
  <c r="N74" i="74" s="1"/>
  <c r="K73" i="74"/>
  <c r="N73" i="74" s="1"/>
  <c r="K72" i="74"/>
  <c r="N72" i="74" s="1"/>
  <c r="K71" i="74"/>
  <c r="N71" i="74" s="1"/>
  <c r="K70" i="74"/>
  <c r="N70" i="74" s="1"/>
  <c r="K69" i="74"/>
  <c r="N69" i="74" s="1"/>
  <c r="K68" i="74"/>
  <c r="N68" i="74" s="1"/>
  <c r="K67" i="74"/>
  <c r="N67" i="74" s="1"/>
  <c r="K66" i="74"/>
  <c r="N66" i="74" s="1"/>
  <c r="K65" i="74"/>
  <c r="N65" i="74" s="1"/>
  <c r="K64" i="74"/>
  <c r="N64" i="74" s="1"/>
  <c r="K63" i="74"/>
  <c r="N63" i="74" s="1"/>
  <c r="K62" i="74"/>
  <c r="N62" i="74" s="1"/>
  <c r="K61" i="74"/>
  <c r="N61" i="74" s="1"/>
  <c r="K60" i="74"/>
  <c r="N60" i="74" s="1"/>
  <c r="K59" i="74"/>
  <c r="N59" i="74" s="1"/>
  <c r="K58" i="74"/>
  <c r="N58" i="74" s="1"/>
  <c r="K57" i="74"/>
  <c r="N57" i="74" s="1"/>
  <c r="K56" i="74"/>
  <c r="N56" i="74" s="1"/>
  <c r="K55" i="74"/>
  <c r="N55" i="74" s="1"/>
  <c r="K54" i="74"/>
  <c r="N54" i="74" s="1"/>
  <c r="K53" i="74"/>
  <c r="N53" i="74" s="1"/>
  <c r="K52" i="74"/>
  <c r="N52" i="74" s="1"/>
  <c r="K51" i="74"/>
  <c r="N51" i="74" s="1"/>
  <c r="K50" i="74"/>
  <c r="N50" i="74" s="1"/>
  <c r="K49" i="74"/>
  <c r="N49" i="74" s="1"/>
  <c r="K48" i="74"/>
  <c r="N48" i="74" s="1"/>
  <c r="K47" i="74"/>
  <c r="N47" i="74" s="1"/>
  <c r="K46" i="74"/>
  <c r="N46" i="74" s="1"/>
  <c r="K45" i="74"/>
  <c r="N45" i="74" s="1"/>
  <c r="K44" i="74"/>
  <c r="N44" i="74" s="1"/>
  <c r="K43" i="74"/>
  <c r="N43" i="74" s="1"/>
  <c r="K42" i="74"/>
  <c r="N42" i="74" s="1"/>
  <c r="K41" i="74"/>
  <c r="N41" i="74" s="1"/>
  <c r="K40" i="74"/>
  <c r="N40" i="74" s="1"/>
  <c r="K39" i="74"/>
  <c r="N39" i="74" s="1"/>
  <c r="K38" i="74"/>
  <c r="N38" i="74" s="1"/>
  <c r="K37" i="74"/>
  <c r="N37" i="74" s="1"/>
  <c r="K36" i="74"/>
  <c r="N36" i="74" s="1"/>
  <c r="K35" i="74"/>
  <c r="N35" i="74" s="1"/>
  <c r="K34" i="74"/>
  <c r="N34" i="74" s="1"/>
  <c r="K33" i="74"/>
  <c r="N33" i="74" s="1"/>
  <c r="K32" i="74"/>
  <c r="N32" i="74" s="1"/>
  <c r="K31" i="74"/>
  <c r="N31" i="74" s="1"/>
  <c r="K30" i="74"/>
  <c r="N30" i="74" s="1"/>
  <c r="K29" i="74"/>
  <c r="N29" i="74" s="1"/>
  <c r="K28" i="74"/>
  <c r="N28" i="74" s="1"/>
  <c r="K27" i="74"/>
  <c r="N27" i="74" s="1"/>
  <c r="K26" i="74"/>
  <c r="N26" i="74" s="1"/>
  <c r="K25" i="74"/>
  <c r="N25" i="74" s="1"/>
  <c r="K24" i="74"/>
  <c r="N24" i="74" s="1"/>
  <c r="K23" i="74"/>
  <c r="N23" i="74" s="1"/>
  <c r="K22" i="74"/>
  <c r="N22" i="74" s="1"/>
  <c r="K21" i="74"/>
  <c r="N21" i="74" s="1"/>
  <c r="K20" i="74"/>
  <c r="N20" i="74" s="1"/>
  <c r="K19" i="74"/>
  <c r="N19" i="74" s="1"/>
  <c r="K18" i="74"/>
  <c r="N18" i="74" s="1"/>
  <c r="K17" i="74"/>
  <c r="N17" i="74" s="1"/>
  <c r="K16" i="74"/>
  <c r="N16" i="74" s="1"/>
  <c r="U15" i="74"/>
  <c r="Y10" i="74" s="1"/>
  <c r="K15" i="74"/>
  <c r="N15" i="74" s="1"/>
  <c r="U14" i="74"/>
  <c r="K14" i="74"/>
  <c r="N14" i="74" s="1"/>
  <c r="U13" i="74"/>
  <c r="K13" i="74"/>
  <c r="N13" i="74" s="1"/>
  <c r="K12" i="74"/>
  <c r="N12" i="74" s="1"/>
  <c r="K11" i="74"/>
  <c r="N11" i="74" s="1"/>
  <c r="U10" i="74"/>
  <c r="K10" i="74"/>
  <c r="N10" i="74" s="1"/>
  <c r="U9" i="74"/>
  <c r="Y17" i="74" s="1"/>
  <c r="K9" i="74"/>
  <c r="N9" i="74" s="1"/>
  <c r="K8" i="74"/>
  <c r="N8" i="74" s="1"/>
  <c r="K101" i="73"/>
  <c r="N101" i="73" s="1"/>
  <c r="K100" i="73"/>
  <c r="N100" i="73" s="1"/>
  <c r="K99" i="73"/>
  <c r="N99" i="73" s="1"/>
  <c r="K98" i="73"/>
  <c r="N98" i="73" s="1"/>
  <c r="K97" i="73"/>
  <c r="N97" i="73" s="1"/>
  <c r="K96" i="73"/>
  <c r="N96" i="73" s="1"/>
  <c r="K95" i="73"/>
  <c r="N95" i="73" s="1"/>
  <c r="K94" i="73"/>
  <c r="N94" i="73" s="1"/>
  <c r="K93" i="73"/>
  <c r="N93" i="73" s="1"/>
  <c r="K92" i="73"/>
  <c r="N92" i="73" s="1"/>
  <c r="K91" i="73"/>
  <c r="N91" i="73" s="1"/>
  <c r="K90" i="73"/>
  <c r="N90" i="73" s="1"/>
  <c r="K89" i="73"/>
  <c r="N89" i="73" s="1"/>
  <c r="K88" i="73"/>
  <c r="N88" i="73" s="1"/>
  <c r="K87" i="73"/>
  <c r="N87" i="73" s="1"/>
  <c r="K86" i="73"/>
  <c r="N86" i="73" s="1"/>
  <c r="K85" i="73"/>
  <c r="N85" i="73" s="1"/>
  <c r="K84" i="73"/>
  <c r="N84" i="73" s="1"/>
  <c r="K83" i="73"/>
  <c r="N83" i="73" s="1"/>
  <c r="K82" i="73"/>
  <c r="N82" i="73" s="1"/>
  <c r="K81" i="73"/>
  <c r="N81" i="73" s="1"/>
  <c r="K80" i="73"/>
  <c r="N80" i="73" s="1"/>
  <c r="K79" i="73"/>
  <c r="N79" i="73" s="1"/>
  <c r="K78" i="73"/>
  <c r="N78" i="73" s="1"/>
  <c r="K77" i="73"/>
  <c r="N77" i="73" s="1"/>
  <c r="K76" i="73"/>
  <c r="N76" i="73" s="1"/>
  <c r="K75" i="73"/>
  <c r="N75" i="73" s="1"/>
  <c r="K74" i="73"/>
  <c r="N74" i="73" s="1"/>
  <c r="K73" i="73"/>
  <c r="N73" i="73" s="1"/>
  <c r="K72" i="73"/>
  <c r="N72" i="73" s="1"/>
  <c r="K71" i="73"/>
  <c r="N71" i="73" s="1"/>
  <c r="K70" i="73"/>
  <c r="N70" i="73" s="1"/>
  <c r="K69" i="73"/>
  <c r="N69" i="73" s="1"/>
  <c r="K68" i="73"/>
  <c r="N68" i="73" s="1"/>
  <c r="K67" i="73"/>
  <c r="N67" i="73" s="1"/>
  <c r="K66" i="73"/>
  <c r="N66" i="73" s="1"/>
  <c r="K65" i="73"/>
  <c r="N65" i="73" s="1"/>
  <c r="K64" i="73"/>
  <c r="N64" i="73" s="1"/>
  <c r="K63" i="73"/>
  <c r="N63" i="73" s="1"/>
  <c r="K62" i="73"/>
  <c r="N62" i="73" s="1"/>
  <c r="K61" i="73"/>
  <c r="N61" i="73" s="1"/>
  <c r="K60" i="73"/>
  <c r="N60" i="73" s="1"/>
  <c r="K59" i="73"/>
  <c r="N59" i="73" s="1"/>
  <c r="K58" i="73"/>
  <c r="N58" i="73" s="1"/>
  <c r="K57" i="73"/>
  <c r="N57" i="73" s="1"/>
  <c r="K56" i="73"/>
  <c r="N56" i="73" s="1"/>
  <c r="K55" i="73"/>
  <c r="N55" i="73" s="1"/>
  <c r="K54" i="73"/>
  <c r="N54" i="73" s="1"/>
  <c r="K53" i="73"/>
  <c r="N53" i="73" s="1"/>
  <c r="K52" i="73"/>
  <c r="N52" i="73" s="1"/>
  <c r="K51" i="73"/>
  <c r="N51" i="73" s="1"/>
  <c r="K50" i="73"/>
  <c r="N50" i="73" s="1"/>
  <c r="K49" i="73"/>
  <c r="N49" i="73" s="1"/>
  <c r="K48" i="73"/>
  <c r="N48" i="73" s="1"/>
  <c r="K47" i="73"/>
  <c r="N47" i="73" s="1"/>
  <c r="K46" i="73"/>
  <c r="N46" i="73" s="1"/>
  <c r="K45" i="73"/>
  <c r="N45" i="73" s="1"/>
  <c r="K44" i="73"/>
  <c r="N44" i="73" s="1"/>
  <c r="K43" i="73"/>
  <c r="N43" i="73" s="1"/>
  <c r="K42" i="73"/>
  <c r="N42" i="73" s="1"/>
  <c r="K41" i="73"/>
  <c r="N41" i="73" s="1"/>
  <c r="K40" i="73"/>
  <c r="N40" i="73" s="1"/>
  <c r="K39" i="73"/>
  <c r="N39" i="73" s="1"/>
  <c r="K38" i="73"/>
  <c r="N38" i="73" s="1"/>
  <c r="K37" i="73"/>
  <c r="N37" i="73" s="1"/>
  <c r="K36" i="73"/>
  <c r="N36" i="73" s="1"/>
  <c r="K35" i="73"/>
  <c r="N35" i="73" s="1"/>
  <c r="K34" i="73"/>
  <c r="N34" i="73" s="1"/>
  <c r="K33" i="73"/>
  <c r="N33" i="73" s="1"/>
  <c r="K32" i="73"/>
  <c r="N32" i="73" s="1"/>
  <c r="K31" i="73"/>
  <c r="N31" i="73" s="1"/>
  <c r="K30" i="73"/>
  <c r="N30" i="73" s="1"/>
  <c r="K29" i="73"/>
  <c r="N29" i="73" s="1"/>
  <c r="K28" i="73"/>
  <c r="N28" i="73" s="1"/>
  <c r="K27" i="73"/>
  <c r="N27" i="73" s="1"/>
  <c r="K26" i="73"/>
  <c r="N26" i="73" s="1"/>
  <c r="K25" i="73"/>
  <c r="N25" i="73" s="1"/>
  <c r="K24" i="73"/>
  <c r="N24" i="73" s="1"/>
  <c r="K23" i="73"/>
  <c r="N23" i="73" s="1"/>
  <c r="K22" i="73"/>
  <c r="N22" i="73" s="1"/>
  <c r="K21" i="73"/>
  <c r="N21" i="73" s="1"/>
  <c r="K20" i="73"/>
  <c r="N20" i="73" s="1"/>
  <c r="K19" i="73"/>
  <c r="N19" i="73" s="1"/>
  <c r="K18" i="73"/>
  <c r="N18" i="73" s="1"/>
  <c r="K17" i="73"/>
  <c r="N17" i="73" s="1"/>
  <c r="K16" i="73"/>
  <c r="N16" i="73" s="1"/>
  <c r="U15" i="73"/>
  <c r="Y10" i="73" s="1"/>
  <c r="K15" i="73"/>
  <c r="N15" i="73" s="1"/>
  <c r="U14" i="73"/>
  <c r="K14" i="73"/>
  <c r="N14" i="73" s="1"/>
  <c r="U13" i="73"/>
  <c r="K13" i="73"/>
  <c r="N13" i="73" s="1"/>
  <c r="K12" i="73"/>
  <c r="N12" i="73" s="1"/>
  <c r="K11" i="73"/>
  <c r="N11" i="73" s="1"/>
  <c r="U10" i="73"/>
  <c r="K10" i="73"/>
  <c r="N10" i="73" s="1"/>
  <c r="U9" i="73"/>
  <c r="Y17" i="73" s="1"/>
  <c r="K9" i="73"/>
  <c r="N9" i="73" s="1"/>
  <c r="K8" i="73"/>
  <c r="K101" i="72"/>
  <c r="N101" i="72" s="1"/>
  <c r="K100" i="72"/>
  <c r="N100" i="72" s="1"/>
  <c r="K99" i="72"/>
  <c r="N99" i="72" s="1"/>
  <c r="K98" i="72"/>
  <c r="N98" i="72" s="1"/>
  <c r="K97" i="72"/>
  <c r="N97" i="72" s="1"/>
  <c r="K96" i="72"/>
  <c r="N96" i="72" s="1"/>
  <c r="K95" i="72"/>
  <c r="N95" i="72" s="1"/>
  <c r="K94" i="72"/>
  <c r="N94" i="72" s="1"/>
  <c r="K93" i="72"/>
  <c r="N93" i="72" s="1"/>
  <c r="K92" i="72"/>
  <c r="N92" i="72" s="1"/>
  <c r="K91" i="72"/>
  <c r="N91" i="72" s="1"/>
  <c r="K90" i="72"/>
  <c r="N90" i="72" s="1"/>
  <c r="K89" i="72"/>
  <c r="N89" i="72" s="1"/>
  <c r="K88" i="72"/>
  <c r="N88" i="72" s="1"/>
  <c r="K87" i="72"/>
  <c r="N87" i="72" s="1"/>
  <c r="K86" i="72"/>
  <c r="N86" i="72" s="1"/>
  <c r="K85" i="72"/>
  <c r="N85" i="72" s="1"/>
  <c r="K84" i="72"/>
  <c r="N84" i="72" s="1"/>
  <c r="K83" i="72"/>
  <c r="N83" i="72" s="1"/>
  <c r="K82" i="72"/>
  <c r="N82" i="72" s="1"/>
  <c r="K81" i="72"/>
  <c r="N81" i="72" s="1"/>
  <c r="K80" i="72"/>
  <c r="N80" i="72" s="1"/>
  <c r="K79" i="72"/>
  <c r="N79" i="72" s="1"/>
  <c r="K78" i="72"/>
  <c r="N78" i="72" s="1"/>
  <c r="K77" i="72"/>
  <c r="N77" i="72" s="1"/>
  <c r="K76" i="72"/>
  <c r="N76" i="72" s="1"/>
  <c r="K75" i="72"/>
  <c r="N75" i="72" s="1"/>
  <c r="K74" i="72"/>
  <c r="N74" i="72" s="1"/>
  <c r="K73" i="72"/>
  <c r="N73" i="72" s="1"/>
  <c r="K72" i="72"/>
  <c r="N72" i="72" s="1"/>
  <c r="K71" i="72"/>
  <c r="N71" i="72" s="1"/>
  <c r="K70" i="72"/>
  <c r="N70" i="72" s="1"/>
  <c r="K69" i="72"/>
  <c r="N69" i="72" s="1"/>
  <c r="K68" i="72"/>
  <c r="N68" i="72" s="1"/>
  <c r="K67" i="72"/>
  <c r="N67" i="72" s="1"/>
  <c r="K66" i="72"/>
  <c r="N66" i="72" s="1"/>
  <c r="K65" i="72"/>
  <c r="N65" i="72" s="1"/>
  <c r="K64" i="72"/>
  <c r="N64" i="72" s="1"/>
  <c r="K63" i="72"/>
  <c r="N63" i="72" s="1"/>
  <c r="K62" i="72"/>
  <c r="N62" i="72" s="1"/>
  <c r="K61" i="72"/>
  <c r="N61" i="72" s="1"/>
  <c r="K60" i="72"/>
  <c r="N60" i="72" s="1"/>
  <c r="K59" i="72"/>
  <c r="N59" i="72" s="1"/>
  <c r="K58" i="72"/>
  <c r="N58" i="72" s="1"/>
  <c r="K57" i="72"/>
  <c r="N57" i="72" s="1"/>
  <c r="K56" i="72"/>
  <c r="N56" i="72" s="1"/>
  <c r="K55" i="72"/>
  <c r="N55" i="72" s="1"/>
  <c r="K54" i="72"/>
  <c r="N54" i="72" s="1"/>
  <c r="K53" i="72"/>
  <c r="N53" i="72" s="1"/>
  <c r="K52" i="72"/>
  <c r="N52" i="72" s="1"/>
  <c r="K51" i="72"/>
  <c r="N51" i="72" s="1"/>
  <c r="K50" i="72"/>
  <c r="N50" i="72" s="1"/>
  <c r="K49" i="72"/>
  <c r="N49" i="72" s="1"/>
  <c r="K48" i="72"/>
  <c r="N48" i="72" s="1"/>
  <c r="K47" i="72"/>
  <c r="N47" i="72" s="1"/>
  <c r="K46" i="72"/>
  <c r="N46" i="72" s="1"/>
  <c r="K45" i="72"/>
  <c r="N45" i="72" s="1"/>
  <c r="K44" i="72"/>
  <c r="N44" i="72" s="1"/>
  <c r="K43" i="72"/>
  <c r="N43" i="72" s="1"/>
  <c r="K42" i="72"/>
  <c r="N42" i="72" s="1"/>
  <c r="K41" i="72"/>
  <c r="N41" i="72" s="1"/>
  <c r="K40" i="72"/>
  <c r="N40" i="72" s="1"/>
  <c r="K39" i="72"/>
  <c r="N39" i="72" s="1"/>
  <c r="K38" i="72"/>
  <c r="N38" i="72" s="1"/>
  <c r="K37" i="72"/>
  <c r="N37" i="72" s="1"/>
  <c r="K36" i="72"/>
  <c r="N36" i="72" s="1"/>
  <c r="K35" i="72"/>
  <c r="N35" i="72" s="1"/>
  <c r="K34" i="72"/>
  <c r="N34" i="72" s="1"/>
  <c r="K33" i="72"/>
  <c r="N33" i="72" s="1"/>
  <c r="K32" i="72"/>
  <c r="N32" i="72" s="1"/>
  <c r="K31" i="72"/>
  <c r="N31" i="72" s="1"/>
  <c r="K30" i="72"/>
  <c r="N30" i="72" s="1"/>
  <c r="K29" i="72"/>
  <c r="N29" i="72" s="1"/>
  <c r="K28" i="72"/>
  <c r="N28" i="72" s="1"/>
  <c r="K27" i="72"/>
  <c r="N27" i="72" s="1"/>
  <c r="K26" i="72"/>
  <c r="N26" i="72" s="1"/>
  <c r="K25" i="72"/>
  <c r="N25" i="72" s="1"/>
  <c r="K24" i="72"/>
  <c r="N24" i="72" s="1"/>
  <c r="K23" i="72"/>
  <c r="N23" i="72" s="1"/>
  <c r="K22" i="72"/>
  <c r="N22" i="72" s="1"/>
  <c r="K21" i="72"/>
  <c r="N21" i="72" s="1"/>
  <c r="K20" i="72"/>
  <c r="N20" i="72" s="1"/>
  <c r="K19" i="72"/>
  <c r="N19" i="72" s="1"/>
  <c r="K18" i="72"/>
  <c r="N18" i="72" s="1"/>
  <c r="K17" i="72"/>
  <c r="N17" i="72" s="1"/>
  <c r="K16" i="72"/>
  <c r="N16" i="72" s="1"/>
  <c r="U15" i="72"/>
  <c r="Y10" i="72" s="1"/>
  <c r="K15" i="72"/>
  <c r="N15" i="72" s="1"/>
  <c r="U14" i="72"/>
  <c r="K14" i="72"/>
  <c r="N14" i="72" s="1"/>
  <c r="U13" i="72"/>
  <c r="K13" i="72"/>
  <c r="N13" i="72" s="1"/>
  <c r="K12" i="72"/>
  <c r="N12" i="72" s="1"/>
  <c r="K11" i="72"/>
  <c r="N11" i="72" s="1"/>
  <c r="U10" i="72"/>
  <c r="K10" i="72"/>
  <c r="N10" i="72" s="1"/>
  <c r="U9" i="72"/>
  <c r="Y17" i="72" s="1"/>
  <c r="Y21" i="72" s="1"/>
  <c r="K9" i="72"/>
  <c r="N9" i="72" s="1"/>
  <c r="K8" i="72"/>
  <c r="N8" i="72" s="1"/>
  <c r="K101" i="70"/>
  <c r="N101" i="70" s="1"/>
  <c r="K100" i="70"/>
  <c r="N100" i="70" s="1"/>
  <c r="K99" i="70"/>
  <c r="N99" i="70" s="1"/>
  <c r="K98" i="70"/>
  <c r="N98" i="70" s="1"/>
  <c r="K97" i="70"/>
  <c r="N97" i="70" s="1"/>
  <c r="K96" i="70"/>
  <c r="N96" i="70" s="1"/>
  <c r="K95" i="70"/>
  <c r="N95" i="70" s="1"/>
  <c r="K94" i="70"/>
  <c r="N94" i="70" s="1"/>
  <c r="K93" i="70"/>
  <c r="N93" i="70" s="1"/>
  <c r="K92" i="70"/>
  <c r="N92" i="70" s="1"/>
  <c r="K91" i="70"/>
  <c r="N91" i="70" s="1"/>
  <c r="K90" i="70"/>
  <c r="N90" i="70" s="1"/>
  <c r="K89" i="70"/>
  <c r="N89" i="70" s="1"/>
  <c r="K88" i="70"/>
  <c r="N88" i="70" s="1"/>
  <c r="K87" i="70"/>
  <c r="N87" i="70" s="1"/>
  <c r="K86" i="70"/>
  <c r="N86" i="70" s="1"/>
  <c r="K85" i="70"/>
  <c r="N85" i="70" s="1"/>
  <c r="K84" i="70"/>
  <c r="N84" i="70" s="1"/>
  <c r="K83" i="70"/>
  <c r="N83" i="70" s="1"/>
  <c r="K82" i="70"/>
  <c r="N82" i="70" s="1"/>
  <c r="K81" i="70"/>
  <c r="N81" i="70" s="1"/>
  <c r="K80" i="70"/>
  <c r="N80" i="70" s="1"/>
  <c r="K79" i="70"/>
  <c r="N79" i="70" s="1"/>
  <c r="K78" i="70"/>
  <c r="N78" i="70" s="1"/>
  <c r="K77" i="70"/>
  <c r="N77" i="70" s="1"/>
  <c r="K76" i="70"/>
  <c r="N76" i="70" s="1"/>
  <c r="K75" i="70"/>
  <c r="N75" i="70" s="1"/>
  <c r="K74" i="70"/>
  <c r="N74" i="70" s="1"/>
  <c r="K73" i="70"/>
  <c r="N73" i="70" s="1"/>
  <c r="K72" i="70"/>
  <c r="N72" i="70" s="1"/>
  <c r="K71" i="70"/>
  <c r="N71" i="70" s="1"/>
  <c r="K70" i="70"/>
  <c r="N70" i="70" s="1"/>
  <c r="K69" i="70"/>
  <c r="N69" i="70" s="1"/>
  <c r="K68" i="70"/>
  <c r="N68" i="70" s="1"/>
  <c r="K67" i="70"/>
  <c r="N67" i="70" s="1"/>
  <c r="K66" i="70"/>
  <c r="N66" i="70" s="1"/>
  <c r="K65" i="70"/>
  <c r="N65" i="70" s="1"/>
  <c r="K64" i="70"/>
  <c r="N64" i="70" s="1"/>
  <c r="K63" i="70"/>
  <c r="N63" i="70" s="1"/>
  <c r="K62" i="70"/>
  <c r="N62" i="70" s="1"/>
  <c r="K61" i="70"/>
  <c r="N61" i="70" s="1"/>
  <c r="K60" i="70"/>
  <c r="N60" i="70" s="1"/>
  <c r="K59" i="70"/>
  <c r="N59" i="70" s="1"/>
  <c r="K58" i="70"/>
  <c r="N58" i="70" s="1"/>
  <c r="K57" i="70"/>
  <c r="N57" i="70" s="1"/>
  <c r="K56" i="70"/>
  <c r="N56" i="70" s="1"/>
  <c r="K55" i="70"/>
  <c r="N55" i="70" s="1"/>
  <c r="K54" i="70"/>
  <c r="N54" i="70" s="1"/>
  <c r="K53" i="70"/>
  <c r="N53" i="70" s="1"/>
  <c r="K52" i="70"/>
  <c r="N52" i="70" s="1"/>
  <c r="K51" i="70"/>
  <c r="N51" i="70" s="1"/>
  <c r="K50" i="70"/>
  <c r="N50" i="70" s="1"/>
  <c r="K49" i="70"/>
  <c r="N49" i="70" s="1"/>
  <c r="K48" i="70"/>
  <c r="N48" i="70" s="1"/>
  <c r="K47" i="70"/>
  <c r="N47" i="70" s="1"/>
  <c r="K46" i="70"/>
  <c r="N46" i="70" s="1"/>
  <c r="K45" i="70"/>
  <c r="N45" i="70" s="1"/>
  <c r="K44" i="70"/>
  <c r="N44" i="70" s="1"/>
  <c r="K43" i="70"/>
  <c r="N43" i="70" s="1"/>
  <c r="K42" i="70"/>
  <c r="N42" i="70" s="1"/>
  <c r="K41" i="70"/>
  <c r="N41" i="70" s="1"/>
  <c r="K40" i="70"/>
  <c r="N40" i="70" s="1"/>
  <c r="K39" i="70"/>
  <c r="N39" i="70" s="1"/>
  <c r="K38" i="70"/>
  <c r="N38" i="70" s="1"/>
  <c r="K37" i="70"/>
  <c r="N37" i="70" s="1"/>
  <c r="K36" i="70"/>
  <c r="N36" i="70" s="1"/>
  <c r="K35" i="70"/>
  <c r="N35" i="70" s="1"/>
  <c r="K34" i="70"/>
  <c r="N34" i="70" s="1"/>
  <c r="K33" i="70"/>
  <c r="N33" i="70" s="1"/>
  <c r="K32" i="70"/>
  <c r="N32" i="70" s="1"/>
  <c r="K31" i="70"/>
  <c r="N31" i="70" s="1"/>
  <c r="K30" i="70"/>
  <c r="N30" i="70" s="1"/>
  <c r="K29" i="70"/>
  <c r="N29" i="70" s="1"/>
  <c r="K28" i="70"/>
  <c r="N28" i="70" s="1"/>
  <c r="K27" i="70"/>
  <c r="N27" i="70" s="1"/>
  <c r="K26" i="70"/>
  <c r="N26" i="70" s="1"/>
  <c r="K25" i="70"/>
  <c r="N25" i="70" s="1"/>
  <c r="K24" i="70"/>
  <c r="N24" i="70" s="1"/>
  <c r="K23" i="70"/>
  <c r="N23" i="70" s="1"/>
  <c r="K22" i="70"/>
  <c r="N22" i="70" s="1"/>
  <c r="K21" i="70"/>
  <c r="N21" i="70" s="1"/>
  <c r="K20" i="70"/>
  <c r="N20" i="70" s="1"/>
  <c r="K19" i="70"/>
  <c r="N19" i="70" s="1"/>
  <c r="K18" i="70"/>
  <c r="N18" i="70" s="1"/>
  <c r="K17" i="70"/>
  <c r="N17" i="70" s="1"/>
  <c r="K16" i="70"/>
  <c r="N16" i="70" s="1"/>
  <c r="U15" i="70"/>
  <c r="Y10" i="70" s="1"/>
  <c r="K15" i="70"/>
  <c r="N15" i="70" s="1"/>
  <c r="U14" i="70"/>
  <c r="K14" i="70"/>
  <c r="N14" i="70" s="1"/>
  <c r="U13" i="70"/>
  <c r="K13" i="70"/>
  <c r="N13" i="70" s="1"/>
  <c r="K12" i="70"/>
  <c r="N12" i="70" s="1"/>
  <c r="K11" i="70"/>
  <c r="N11" i="70" s="1"/>
  <c r="U10" i="70"/>
  <c r="K10" i="70"/>
  <c r="N10" i="70" s="1"/>
  <c r="U9" i="70"/>
  <c r="Y17" i="70" s="1"/>
  <c r="K9" i="70"/>
  <c r="N9" i="70" s="1"/>
  <c r="K8" i="70"/>
  <c r="N8" i="70" s="1"/>
  <c r="K101" i="69"/>
  <c r="N101" i="69" s="1"/>
  <c r="K100" i="69"/>
  <c r="N100" i="69" s="1"/>
  <c r="K99" i="69"/>
  <c r="N99" i="69" s="1"/>
  <c r="K98" i="69"/>
  <c r="N98" i="69" s="1"/>
  <c r="K97" i="69"/>
  <c r="N97" i="69" s="1"/>
  <c r="K96" i="69"/>
  <c r="N96" i="69" s="1"/>
  <c r="K95" i="69"/>
  <c r="N95" i="69" s="1"/>
  <c r="K94" i="69"/>
  <c r="N94" i="69" s="1"/>
  <c r="K93" i="69"/>
  <c r="N93" i="69" s="1"/>
  <c r="K92" i="69"/>
  <c r="N92" i="69" s="1"/>
  <c r="K91" i="69"/>
  <c r="N91" i="69" s="1"/>
  <c r="K90" i="69"/>
  <c r="N90" i="69" s="1"/>
  <c r="K89" i="69"/>
  <c r="N89" i="69" s="1"/>
  <c r="K88" i="69"/>
  <c r="N88" i="69" s="1"/>
  <c r="K87" i="69"/>
  <c r="N87" i="69" s="1"/>
  <c r="K86" i="69"/>
  <c r="N86" i="69" s="1"/>
  <c r="K85" i="69"/>
  <c r="N85" i="69" s="1"/>
  <c r="K84" i="69"/>
  <c r="N84" i="69" s="1"/>
  <c r="K83" i="69"/>
  <c r="N83" i="69" s="1"/>
  <c r="K82" i="69"/>
  <c r="N82" i="69" s="1"/>
  <c r="K81" i="69"/>
  <c r="N81" i="69" s="1"/>
  <c r="K80" i="69"/>
  <c r="N80" i="69" s="1"/>
  <c r="K79" i="69"/>
  <c r="N79" i="69" s="1"/>
  <c r="K78" i="69"/>
  <c r="N78" i="69" s="1"/>
  <c r="K77" i="69"/>
  <c r="N77" i="69" s="1"/>
  <c r="K76" i="69"/>
  <c r="N76" i="69" s="1"/>
  <c r="K75" i="69"/>
  <c r="N75" i="69" s="1"/>
  <c r="K74" i="69"/>
  <c r="N74" i="69" s="1"/>
  <c r="K73" i="69"/>
  <c r="N73" i="69" s="1"/>
  <c r="K72" i="69"/>
  <c r="N72" i="69" s="1"/>
  <c r="K71" i="69"/>
  <c r="N71" i="69" s="1"/>
  <c r="K70" i="69"/>
  <c r="N70" i="69" s="1"/>
  <c r="K69" i="69"/>
  <c r="N69" i="69" s="1"/>
  <c r="K68" i="69"/>
  <c r="N68" i="69" s="1"/>
  <c r="K67" i="69"/>
  <c r="N67" i="69" s="1"/>
  <c r="K66" i="69"/>
  <c r="N66" i="69" s="1"/>
  <c r="K65" i="69"/>
  <c r="N65" i="69" s="1"/>
  <c r="K64" i="69"/>
  <c r="N64" i="69" s="1"/>
  <c r="K63" i="69"/>
  <c r="N63" i="69" s="1"/>
  <c r="K62" i="69"/>
  <c r="N62" i="69" s="1"/>
  <c r="K61" i="69"/>
  <c r="N61" i="69" s="1"/>
  <c r="K60" i="69"/>
  <c r="N60" i="69" s="1"/>
  <c r="K59" i="69"/>
  <c r="N59" i="69" s="1"/>
  <c r="K58" i="69"/>
  <c r="N58" i="69" s="1"/>
  <c r="K57" i="69"/>
  <c r="N57" i="69" s="1"/>
  <c r="K56" i="69"/>
  <c r="N56" i="69" s="1"/>
  <c r="K55" i="69"/>
  <c r="N55" i="69" s="1"/>
  <c r="K54" i="69"/>
  <c r="N54" i="69" s="1"/>
  <c r="K53" i="69"/>
  <c r="N53" i="69" s="1"/>
  <c r="K52" i="69"/>
  <c r="N52" i="69" s="1"/>
  <c r="K51" i="69"/>
  <c r="N51" i="69" s="1"/>
  <c r="K50" i="69"/>
  <c r="N50" i="69" s="1"/>
  <c r="K49" i="69"/>
  <c r="N49" i="69" s="1"/>
  <c r="K48" i="69"/>
  <c r="N48" i="69" s="1"/>
  <c r="K47" i="69"/>
  <c r="N47" i="69" s="1"/>
  <c r="K46" i="69"/>
  <c r="N46" i="69" s="1"/>
  <c r="K45" i="69"/>
  <c r="N45" i="69" s="1"/>
  <c r="K44" i="69"/>
  <c r="N44" i="69" s="1"/>
  <c r="K43" i="69"/>
  <c r="N43" i="69" s="1"/>
  <c r="K42" i="69"/>
  <c r="N42" i="69" s="1"/>
  <c r="K41" i="69"/>
  <c r="N41" i="69" s="1"/>
  <c r="K40" i="69"/>
  <c r="N40" i="69" s="1"/>
  <c r="K39" i="69"/>
  <c r="N39" i="69" s="1"/>
  <c r="K38" i="69"/>
  <c r="N38" i="69" s="1"/>
  <c r="K37" i="69"/>
  <c r="N37" i="69" s="1"/>
  <c r="K36" i="69"/>
  <c r="N36" i="69" s="1"/>
  <c r="K35" i="69"/>
  <c r="N35" i="69" s="1"/>
  <c r="K34" i="69"/>
  <c r="N34" i="69" s="1"/>
  <c r="K33" i="69"/>
  <c r="N33" i="69" s="1"/>
  <c r="K32" i="69"/>
  <c r="N32" i="69" s="1"/>
  <c r="K31" i="69"/>
  <c r="N31" i="69" s="1"/>
  <c r="K30" i="69"/>
  <c r="N30" i="69" s="1"/>
  <c r="K29" i="69"/>
  <c r="N29" i="69" s="1"/>
  <c r="K28" i="69"/>
  <c r="N28" i="69" s="1"/>
  <c r="K27" i="69"/>
  <c r="N27" i="69" s="1"/>
  <c r="K26" i="69"/>
  <c r="N26" i="69" s="1"/>
  <c r="K25" i="69"/>
  <c r="N25" i="69" s="1"/>
  <c r="K24" i="69"/>
  <c r="N24" i="69" s="1"/>
  <c r="K23" i="69"/>
  <c r="N23" i="69" s="1"/>
  <c r="K22" i="69"/>
  <c r="N22" i="69" s="1"/>
  <c r="K21" i="69"/>
  <c r="N21" i="69" s="1"/>
  <c r="K20" i="69"/>
  <c r="N20" i="69" s="1"/>
  <c r="K19" i="69"/>
  <c r="N19" i="69" s="1"/>
  <c r="K18" i="69"/>
  <c r="N18" i="69" s="1"/>
  <c r="K17" i="69"/>
  <c r="N17" i="69" s="1"/>
  <c r="K16" i="69"/>
  <c r="N16" i="69" s="1"/>
  <c r="U15" i="69"/>
  <c r="Y10" i="69" s="1"/>
  <c r="K15" i="69"/>
  <c r="N15" i="69" s="1"/>
  <c r="U14" i="69"/>
  <c r="K14" i="69"/>
  <c r="N14" i="69" s="1"/>
  <c r="U13" i="69"/>
  <c r="K13" i="69"/>
  <c r="N13" i="69" s="1"/>
  <c r="K12" i="69"/>
  <c r="N12" i="69" s="1"/>
  <c r="K11" i="69"/>
  <c r="N11" i="69" s="1"/>
  <c r="U10" i="69"/>
  <c r="K10" i="69"/>
  <c r="N10" i="69" s="1"/>
  <c r="U9" i="69"/>
  <c r="Y17" i="69" s="1"/>
  <c r="K9" i="69"/>
  <c r="N9" i="69" s="1"/>
  <c r="K8" i="69"/>
  <c r="K101" i="68"/>
  <c r="N101" i="68" s="1"/>
  <c r="K100" i="68"/>
  <c r="N100" i="68" s="1"/>
  <c r="K99" i="68"/>
  <c r="N99" i="68" s="1"/>
  <c r="K98" i="68"/>
  <c r="N98" i="68" s="1"/>
  <c r="K97" i="68"/>
  <c r="N97" i="68" s="1"/>
  <c r="K96" i="68"/>
  <c r="N96" i="68" s="1"/>
  <c r="K95" i="68"/>
  <c r="N95" i="68" s="1"/>
  <c r="K94" i="68"/>
  <c r="N94" i="68" s="1"/>
  <c r="K93" i="68"/>
  <c r="N93" i="68" s="1"/>
  <c r="K92" i="68"/>
  <c r="N92" i="68" s="1"/>
  <c r="K91" i="68"/>
  <c r="N91" i="68" s="1"/>
  <c r="K90" i="68"/>
  <c r="N90" i="68" s="1"/>
  <c r="K89" i="68"/>
  <c r="N89" i="68" s="1"/>
  <c r="K88" i="68"/>
  <c r="N88" i="68" s="1"/>
  <c r="K87" i="68"/>
  <c r="N87" i="68" s="1"/>
  <c r="K86" i="68"/>
  <c r="N86" i="68" s="1"/>
  <c r="K85" i="68"/>
  <c r="N85" i="68" s="1"/>
  <c r="K84" i="68"/>
  <c r="N84" i="68" s="1"/>
  <c r="K83" i="68"/>
  <c r="N83" i="68" s="1"/>
  <c r="K82" i="68"/>
  <c r="N82" i="68" s="1"/>
  <c r="K81" i="68"/>
  <c r="N81" i="68" s="1"/>
  <c r="K80" i="68"/>
  <c r="N80" i="68" s="1"/>
  <c r="K79" i="68"/>
  <c r="N79" i="68" s="1"/>
  <c r="K78" i="68"/>
  <c r="N78" i="68" s="1"/>
  <c r="K77" i="68"/>
  <c r="N77" i="68" s="1"/>
  <c r="K76" i="68"/>
  <c r="N76" i="68" s="1"/>
  <c r="K75" i="68"/>
  <c r="N75" i="68" s="1"/>
  <c r="K74" i="68"/>
  <c r="N74" i="68" s="1"/>
  <c r="K73" i="68"/>
  <c r="N73" i="68" s="1"/>
  <c r="K72" i="68"/>
  <c r="N72" i="68" s="1"/>
  <c r="K71" i="68"/>
  <c r="N71" i="68" s="1"/>
  <c r="K70" i="68"/>
  <c r="N70" i="68" s="1"/>
  <c r="K69" i="68"/>
  <c r="N69" i="68" s="1"/>
  <c r="K68" i="68"/>
  <c r="N68" i="68" s="1"/>
  <c r="K67" i="68"/>
  <c r="N67" i="68" s="1"/>
  <c r="K66" i="68"/>
  <c r="N66" i="68" s="1"/>
  <c r="K65" i="68"/>
  <c r="N65" i="68" s="1"/>
  <c r="K64" i="68"/>
  <c r="N64" i="68" s="1"/>
  <c r="K63" i="68"/>
  <c r="N63" i="68" s="1"/>
  <c r="K62" i="68"/>
  <c r="N62" i="68" s="1"/>
  <c r="K61" i="68"/>
  <c r="N61" i="68" s="1"/>
  <c r="K60" i="68"/>
  <c r="N60" i="68" s="1"/>
  <c r="K59" i="68"/>
  <c r="N59" i="68" s="1"/>
  <c r="K58" i="68"/>
  <c r="N58" i="68" s="1"/>
  <c r="K57" i="68"/>
  <c r="N57" i="68" s="1"/>
  <c r="K56" i="68"/>
  <c r="N56" i="68" s="1"/>
  <c r="K55" i="68"/>
  <c r="N55" i="68" s="1"/>
  <c r="K54" i="68"/>
  <c r="N54" i="68" s="1"/>
  <c r="K53" i="68"/>
  <c r="N53" i="68" s="1"/>
  <c r="K52" i="68"/>
  <c r="N52" i="68" s="1"/>
  <c r="K51" i="68"/>
  <c r="N51" i="68" s="1"/>
  <c r="K50" i="68"/>
  <c r="N50" i="68" s="1"/>
  <c r="K49" i="68"/>
  <c r="N49" i="68" s="1"/>
  <c r="K48" i="68"/>
  <c r="N48" i="68" s="1"/>
  <c r="K47" i="68"/>
  <c r="N47" i="68" s="1"/>
  <c r="K46" i="68"/>
  <c r="N46" i="68" s="1"/>
  <c r="K45" i="68"/>
  <c r="N45" i="68" s="1"/>
  <c r="K44" i="68"/>
  <c r="N44" i="68" s="1"/>
  <c r="K43" i="68"/>
  <c r="N43" i="68" s="1"/>
  <c r="K42" i="68"/>
  <c r="N42" i="68" s="1"/>
  <c r="K41" i="68"/>
  <c r="N41" i="68" s="1"/>
  <c r="K40" i="68"/>
  <c r="N40" i="68" s="1"/>
  <c r="K39" i="68"/>
  <c r="N39" i="68" s="1"/>
  <c r="K38" i="68"/>
  <c r="N38" i="68" s="1"/>
  <c r="K37" i="68"/>
  <c r="N37" i="68" s="1"/>
  <c r="K36" i="68"/>
  <c r="N36" i="68" s="1"/>
  <c r="K35" i="68"/>
  <c r="N35" i="68" s="1"/>
  <c r="K34" i="68"/>
  <c r="N34" i="68" s="1"/>
  <c r="K33" i="68"/>
  <c r="N33" i="68" s="1"/>
  <c r="K32" i="68"/>
  <c r="N32" i="68" s="1"/>
  <c r="K31" i="68"/>
  <c r="N31" i="68" s="1"/>
  <c r="K30" i="68"/>
  <c r="N30" i="68" s="1"/>
  <c r="K29" i="68"/>
  <c r="N29" i="68" s="1"/>
  <c r="K28" i="68"/>
  <c r="N28" i="68" s="1"/>
  <c r="K27" i="68"/>
  <c r="N27" i="68" s="1"/>
  <c r="K26" i="68"/>
  <c r="N26" i="68" s="1"/>
  <c r="K25" i="68"/>
  <c r="N25" i="68" s="1"/>
  <c r="K24" i="68"/>
  <c r="N24" i="68" s="1"/>
  <c r="K23" i="68"/>
  <c r="N23" i="68" s="1"/>
  <c r="K22" i="68"/>
  <c r="N22" i="68" s="1"/>
  <c r="K21" i="68"/>
  <c r="N21" i="68" s="1"/>
  <c r="K20" i="68"/>
  <c r="N20" i="68" s="1"/>
  <c r="K19" i="68"/>
  <c r="N19" i="68" s="1"/>
  <c r="K18" i="68"/>
  <c r="N18" i="68" s="1"/>
  <c r="K17" i="68"/>
  <c r="N17" i="68" s="1"/>
  <c r="K16" i="68"/>
  <c r="N16" i="68" s="1"/>
  <c r="U15" i="68"/>
  <c r="Y10" i="68" s="1"/>
  <c r="K15" i="68"/>
  <c r="N15" i="68" s="1"/>
  <c r="U14" i="68"/>
  <c r="K14" i="68"/>
  <c r="N14" i="68" s="1"/>
  <c r="U13" i="68"/>
  <c r="K13" i="68"/>
  <c r="N13" i="68" s="1"/>
  <c r="K12" i="68"/>
  <c r="N12" i="68" s="1"/>
  <c r="K11" i="68"/>
  <c r="N11" i="68" s="1"/>
  <c r="U10" i="68"/>
  <c r="K10" i="68"/>
  <c r="N10" i="68" s="1"/>
  <c r="U9" i="68"/>
  <c r="Y17" i="68" s="1"/>
  <c r="K9" i="68"/>
  <c r="N9" i="68" s="1"/>
  <c r="K8" i="68"/>
  <c r="K101" i="67"/>
  <c r="N101" i="67" s="1"/>
  <c r="K100" i="67"/>
  <c r="N100" i="67" s="1"/>
  <c r="K99" i="67"/>
  <c r="N99" i="67" s="1"/>
  <c r="K98" i="67"/>
  <c r="N98" i="67" s="1"/>
  <c r="K97" i="67"/>
  <c r="N97" i="67" s="1"/>
  <c r="K96" i="67"/>
  <c r="N96" i="67" s="1"/>
  <c r="K95" i="67"/>
  <c r="N95" i="67" s="1"/>
  <c r="K94" i="67"/>
  <c r="N94" i="67" s="1"/>
  <c r="K93" i="67"/>
  <c r="N93" i="67" s="1"/>
  <c r="K92" i="67"/>
  <c r="N92" i="67" s="1"/>
  <c r="K91" i="67"/>
  <c r="N91" i="67" s="1"/>
  <c r="K90" i="67"/>
  <c r="N90" i="67" s="1"/>
  <c r="K89" i="67"/>
  <c r="N89" i="67" s="1"/>
  <c r="K88" i="67"/>
  <c r="N88" i="67" s="1"/>
  <c r="K87" i="67"/>
  <c r="N87" i="67" s="1"/>
  <c r="K86" i="67"/>
  <c r="N86" i="67" s="1"/>
  <c r="K85" i="67"/>
  <c r="N85" i="67" s="1"/>
  <c r="K84" i="67"/>
  <c r="N84" i="67" s="1"/>
  <c r="K83" i="67"/>
  <c r="N83" i="67" s="1"/>
  <c r="K82" i="67"/>
  <c r="N82" i="67" s="1"/>
  <c r="K81" i="67"/>
  <c r="N81" i="67" s="1"/>
  <c r="K80" i="67"/>
  <c r="N80" i="67" s="1"/>
  <c r="K79" i="67"/>
  <c r="N79" i="67" s="1"/>
  <c r="K78" i="67"/>
  <c r="N78" i="67" s="1"/>
  <c r="K77" i="67"/>
  <c r="N77" i="67" s="1"/>
  <c r="K76" i="67"/>
  <c r="N76" i="67" s="1"/>
  <c r="K75" i="67"/>
  <c r="N75" i="67" s="1"/>
  <c r="K74" i="67"/>
  <c r="N74" i="67" s="1"/>
  <c r="K73" i="67"/>
  <c r="N73" i="67" s="1"/>
  <c r="K72" i="67"/>
  <c r="N72" i="67" s="1"/>
  <c r="K71" i="67"/>
  <c r="N71" i="67" s="1"/>
  <c r="K70" i="67"/>
  <c r="N70" i="67" s="1"/>
  <c r="K69" i="67"/>
  <c r="N69" i="67" s="1"/>
  <c r="K68" i="67"/>
  <c r="N68" i="67" s="1"/>
  <c r="K67" i="67"/>
  <c r="N67" i="67" s="1"/>
  <c r="K66" i="67"/>
  <c r="N66" i="67" s="1"/>
  <c r="K65" i="67"/>
  <c r="N65" i="67" s="1"/>
  <c r="K64" i="67"/>
  <c r="N64" i="67" s="1"/>
  <c r="K63" i="67"/>
  <c r="N63" i="67" s="1"/>
  <c r="K62" i="67"/>
  <c r="N62" i="67" s="1"/>
  <c r="K61" i="67"/>
  <c r="N61" i="67" s="1"/>
  <c r="K60" i="67"/>
  <c r="N60" i="67" s="1"/>
  <c r="K59" i="67"/>
  <c r="N59" i="67" s="1"/>
  <c r="K58" i="67"/>
  <c r="N58" i="67" s="1"/>
  <c r="K57" i="67"/>
  <c r="N57" i="67" s="1"/>
  <c r="K56" i="67"/>
  <c r="N56" i="67" s="1"/>
  <c r="K55" i="67"/>
  <c r="N55" i="67" s="1"/>
  <c r="K54" i="67"/>
  <c r="N54" i="67" s="1"/>
  <c r="K53" i="67"/>
  <c r="N53" i="67" s="1"/>
  <c r="K52" i="67"/>
  <c r="N52" i="67" s="1"/>
  <c r="K51" i="67"/>
  <c r="N51" i="67" s="1"/>
  <c r="K50" i="67"/>
  <c r="N50" i="67" s="1"/>
  <c r="K49" i="67"/>
  <c r="N49" i="67" s="1"/>
  <c r="K48" i="67"/>
  <c r="N48" i="67" s="1"/>
  <c r="K47" i="67"/>
  <c r="N47" i="67" s="1"/>
  <c r="K46" i="67"/>
  <c r="N46" i="67" s="1"/>
  <c r="K45" i="67"/>
  <c r="N45" i="67" s="1"/>
  <c r="K44" i="67"/>
  <c r="N44" i="67" s="1"/>
  <c r="K43" i="67"/>
  <c r="N43" i="67" s="1"/>
  <c r="K42" i="67"/>
  <c r="N42" i="67" s="1"/>
  <c r="K41" i="67"/>
  <c r="N41" i="67" s="1"/>
  <c r="K40" i="67"/>
  <c r="N40" i="67" s="1"/>
  <c r="K39" i="67"/>
  <c r="N39" i="67" s="1"/>
  <c r="K38" i="67"/>
  <c r="N38" i="67" s="1"/>
  <c r="K37" i="67"/>
  <c r="N37" i="67" s="1"/>
  <c r="K36" i="67"/>
  <c r="N36" i="67" s="1"/>
  <c r="K35" i="67"/>
  <c r="N35" i="67" s="1"/>
  <c r="K34" i="67"/>
  <c r="N34" i="67" s="1"/>
  <c r="K33" i="67"/>
  <c r="N33" i="67" s="1"/>
  <c r="K32" i="67"/>
  <c r="N32" i="67" s="1"/>
  <c r="K31" i="67"/>
  <c r="N31" i="67" s="1"/>
  <c r="K30" i="67"/>
  <c r="N30" i="67" s="1"/>
  <c r="K29" i="67"/>
  <c r="N29" i="67" s="1"/>
  <c r="K28" i="67"/>
  <c r="N28" i="67" s="1"/>
  <c r="K27" i="67"/>
  <c r="N27" i="67" s="1"/>
  <c r="K26" i="67"/>
  <c r="N26" i="67" s="1"/>
  <c r="K25" i="67"/>
  <c r="N25" i="67" s="1"/>
  <c r="K24" i="67"/>
  <c r="N24" i="67" s="1"/>
  <c r="K23" i="67"/>
  <c r="N23" i="67" s="1"/>
  <c r="K22" i="67"/>
  <c r="N22" i="67" s="1"/>
  <c r="K21" i="67"/>
  <c r="N21" i="67" s="1"/>
  <c r="K20" i="67"/>
  <c r="N20" i="67" s="1"/>
  <c r="K19" i="67"/>
  <c r="N19" i="67" s="1"/>
  <c r="K18" i="67"/>
  <c r="N18" i="67" s="1"/>
  <c r="K17" i="67"/>
  <c r="N17" i="67" s="1"/>
  <c r="K16" i="67"/>
  <c r="N16" i="67" s="1"/>
  <c r="U15" i="67"/>
  <c r="Y10" i="67" s="1"/>
  <c r="K15" i="67"/>
  <c r="N15" i="67" s="1"/>
  <c r="U14" i="67"/>
  <c r="K14" i="67"/>
  <c r="N14" i="67" s="1"/>
  <c r="U13" i="67"/>
  <c r="K13" i="67"/>
  <c r="N13" i="67" s="1"/>
  <c r="K12" i="67"/>
  <c r="N12" i="67" s="1"/>
  <c r="K11" i="67"/>
  <c r="N11" i="67" s="1"/>
  <c r="U10" i="67"/>
  <c r="K10" i="67"/>
  <c r="N10" i="67" s="1"/>
  <c r="U9" i="67"/>
  <c r="Y17" i="67" s="1"/>
  <c r="K9" i="67"/>
  <c r="N9" i="67" s="1"/>
  <c r="K8" i="67"/>
  <c r="N8" i="67" s="1"/>
  <c r="K101" i="66"/>
  <c r="N101" i="66" s="1"/>
  <c r="K100" i="66"/>
  <c r="N100" i="66" s="1"/>
  <c r="K99" i="66"/>
  <c r="N99" i="66" s="1"/>
  <c r="K98" i="66"/>
  <c r="N98" i="66" s="1"/>
  <c r="K97" i="66"/>
  <c r="N97" i="66" s="1"/>
  <c r="K96" i="66"/>
  <c r="N96" i="66" s="1"/>
  <c r="K95" i="66"/>
  <c r="N95" i="66" s="1"/>
  <c r="K94" i="66"/>
  <c r="N94" i="66" s="1"/>
  <c r="K93" i="66"/>
  <c r="N93" i="66" s="1"/>
  <c r="K92" i="66"/>
  <c r="N92" i="66" s="1"/>
  <c r="K91" i="66"/>
  <c r="N91" i="66" s="1"/>
  <c r="K90" i="66"/>
  <c r="N90" i="66" s="1"/>
  <c r="K89" i="66"/>
  <c r="N89" i="66" s="1"/>
  <c r="K88" i="66"/>
  <c r="N88" i="66" s="1"/>
  <c r="K87" i="66"/>
  <c r="N87" i="66" s="1"/>
  <c r="K86" i="66"/>
  <c r="N86" i="66" s="1"/>
  <c r="K85" i="66"/>
  <c r="N85" i="66" s="1"/>
  <c r="K84" i="66"/>
  <c r="N84" i="66" s="1"/>
  <c r="K83" i="66"/>
  <c r="N83" i="66" s="1"/>
  <c r="K82" i="66"/>
  <c r="N82" i="66" s="1"/>
  <c r="K81" i="66"/>
  <c r="N81" i="66" s="1"/>
  <c r="K80" i="66"/>
  <c r="N80" i="66" s="1"/>
  <c r="K79" i="66"/>
  <c r="N79" i="66" s="1"/>
  <c r="K78" i="66"/>
  <c r="N78" i="66" s="1"/>
  <c r="K77" i="66"/>
  <c r="N77" i="66" s="1"/>
  <c r="K76" i="66"/>
  <c r="N76" i="66" s="1"/>
  <c r="K75" i="66"/>
  <c r="N75" i="66" s="1"/>
  <c r="K74" i="66"/>
  <c r="N74" i="66" s="1"/>
  <c r="K73" i="66"/>
  <c r="N73" i="66" s="1"/>
  <c r="K72" i="66"/>
  <c r="N72" i="66" s="1"/>
  <c r="K71" i="66"/>
  <c r="N71" i="66" s="1"/>
  <c r="K70" i="66"/>
  <c r="N70" i="66" s="1"/>
  <c r="K69" i="66"/>
  <c r="N69" i="66" s="1"/>
  <c r="K68" i="66"/>
  <c r="N68" i="66" s="1"/>
  <c r="K67" i="66"/>
  <c r="N67" i="66" s="1"/>
  <c r="K66" i="66"/>
  <c r="N66" i="66" s="1"/>
  <c r="K65" i="66"/>
  <c r="N65" i="66" s="1"/>
  <c r="K64" i="66"/>
  <c r="N64" i="66" s="1"/>
  <c r="K63" i="66"/>
  <c r="N63" i="66" s="1"/>
  <c r="K62" i="66"/>
  <c r="N62" i="66" s="1"/>
  <c r="K61" i="66"/>
  <c r="N61" i="66" s="1"/>
  <c r="K60" i="66"/>
  <c r="N60" i="66" s="1"/>
  <c r="K59" i="66"/>
  <c r="N59" i="66" s="1"/>
  <c r="K58" i="66"/>
  <c r="N58" i="66" s="1"/>
  <c r="K57" i="66"/>
  <c r="N57" i="66" s="1"/>
  <c r="K56" i="66"/>
  <c r="N56" i="66" s="1"/>
  <c r="K55" i="66"/>
  <c r="N55" i="66" s="1"/>
  <c r="K54" i="66"/>
  <c r="N54" i="66" s="1"/>
  <c r="K53" i="66"/>
  <c r="N53" i="66" s="1"/>
  <c r="K52" i="66"/>
  <c r="N52" i="66" s="1"/>
  <c r="K51" i="66"/>
  <c r="N51" i="66" s="1"/>
  <c r="K50" i="66"/>
  <c r="N50" i="66" s="1"/>
  <c r="K49" i="66"/>
  <c r="N49" i="66" s="1"/>
  <c r="K48" i="66"/>
  <c r="N48" i="66" s="1"/>
  <c r="K47" i="66"/>
  <c r="N47" i="66" s="1"/>
  <c r="K46" i="66"/>
  <c r="N46" i="66" s="1"/>
  <c r="K45" i="66"/>
  <c r="N45" i="66" s="1"/>
  <c r="K44" i="66"/>
  <c r="N44" i="66" s="1"/>
  <c r="K43" i="66"/>
  <c r="N43" i="66" s="1"/>
  <c r="K42" i="66"/>
  <c r="N42" i="66" s="1"/>
  <c r="K41" i="66"/>
  <c r="N41" i="66" s="1"/>
  <c r="K40" i="66"/>
  <c r="N40" i="66" s="1"/>
  <c r="K39" i="66"/>
  <c r="N39" i="66" s="1"/>
  <c r="K38" i="66"/>
  <c r="N38" i="66" s="1"/>
  <c r="K37" i="66"/>
  <c r="N37" i="66" s="1"/>
  <c r="K36" i="66"/>
  <c r="N36" i="66" s="1"/>
  <c r="K35" i="66"/>
  <c r="N35" i="66" s="1"/>
  <c r="K34" i="66"/>
  <c r="N34" i="66" s="1"/>
  <c r="K33" i="66"/>
  <c r="N33" i="66" s="1"/>
  <c r="K32" i="66"/>
  <c r="N32" i="66" s="1"/>
  <c r="K31" i="66"/>
  <c r="N31" i="66" s="1"/>
  <c r="K30" i="66"/>
  <c r="N30" i="66" s="1"/>
  <c r="K29" i="66"/>
  <c r="N29" i="66" s="1"/>
  <c r="K28" i="66"/>
  <c r="N28" i="66" s="1"/>
  <c r="K27" i="66"/>
  <c r="N27" i="66" s="1"/>
  <c r="K26" i="66"/>
  <c r="N26" i="66" s="1"/>
  <c r="K25" i="66"/>
  <c r="N25" i="66" s="1"/>
  <c r="K24" i="66"/>
  <c r="N24" i="66" s="1"/>
  <c r="K23" i="66"/>
  <c r="N23" i="66" s="1"/>
  <c r="K22" i="66"/>
  <c r="N22" i="66" s="1"/>
  <c r="K21" i="66"/>
  <c r="N21" i="66" s="1"/>
  <c r="K20" i="66"/>
  <c r="N20" i="66" s="1"/>
  <c r="K19" i="66"/>
  <c r="N19" i="66" s="1"/>
  <c r="K18" i="66"/>
  <c r="N18" i="66" s="1"/>
  <c r="K17" i="66"/>
  <c r="N17" i="66" s="1"/>
  <c r="K16" i="66"/>
  <c r="N16" i="66" s="1"/>
  <c r="U15" i="66"/>
  <c r="Y10" i="66" s="1"/>
  <c r="K15" i="66"/>
  <c r="N15" i="66" s="1"/>
  <c r="U14" i="66"/>
  <c r="K14" i="66"/>
  <c r="N14" i="66" s="1"/>
  <c r="U13" i="66"/>
  <c r="K13" i="66"/>
  <c r="N13" i="66" s="1"/>
  <c r="K12" i="66"/>
  <c r="N12" i="66" s="1"/>
  <c r="K11" i="66"/>
  <c r="N11" i="66" s="1"/>
  <c r="U10" i="66"/>
  <c r="K10" i="66"/>
  <c r="N10" i="66" s="1"/>
  <c r="U9" i="66"/>
  <c r="Y17" i="66" s="1"/>
  <c r="K9" i="66"/>
  <c r="N9" i="66" s="1"/>
  <c r="K8" i="66"/>
  <c r="N8" i="66" s="1"/>
  <c r="K101" i="65"/>
  <c r="N101" i="65" s="1"/>
  <c r="K100" i="65"/>
  <c r="N100" i="65" s="1"/>
  <c r="K99" i="65"/>
  <c r="N99" i="65" s="1"/>
  <c r="K98" i="65"/>
  <c r="N98" i="65" s="1"/>
  <c r="K97" i="65"/>
  <c r="N97" i="65" s="1"/>
  <c r="K96" i="65"/>
  <c r="N96" i="65" s="1"/>
  <c r="K95" i="65"/>
  <c r="N95" i="65" s="1"/>
  <c r="K94" i="65"/>
  <c r="N94" i="65" s="1"/>
  <c r="K93" i="65"/>
  <c r="N93" i="65" s="1"/>
  <c r="K92" i="65"/>
  <c r="N92" i="65" s="1"/>
  <c r="K91" i="65"/>
  <c r="N91" i="65" s="1"/>
  <c r="K90" i="65"/>
  <c r="N90" i="65" s="1"/>
  <c r="K89" i="65"/>
  <c r="N89" i="65" s="1"/>
  <c r="K88" i="65"/>
  <c r="N88" i="65" s="1"/>
  <c r="K87" i="65"/>
  <c r="N87" i="65" s="1"/>
  <c r="K86" i="65"/>
  <c r="N86" i="65" s="1"/>
  <c r="K85" i="65"/>
  <c r="N85" i="65" s="1"/>
  <c r="K84" i="65"/>
  <c r="N84" i="65" s="1"/>
  <c r="K83" i="65"/>
  <c r="N83" i="65" s="1"/>
  <c r="K82" i="65"/>
  <c r="N82" i="65" s="1"/>
  <c r="K81" i="65"/>
  <c r="N81" i="65" s="1"/>
  <c r="K80" i="65"/>
  <c r="N80" i="65" s="1"/>
  <c r="K79" i="65"/>
  <c r="N79" i="65" s="1"/>
  <c r="K78" i="65"/>
  <c r="N78" i="65" s="1"/>
  <c r="K77" i="65"/>
  <c r="N77" i="65" s="1"/>
  <c r="K76" i="65"/>
  <c r="N76" i="65" s="1"/>
  <c r="K75" i="65"/>
  <c r="N75" i="65" s="1"/>
  <c r="K74" i="65"/>
  <c r="N74" i="65" s="1"/>
  <c r="K73" i="65"/>
  <c r="N73" i="65" s="1"/>
  <c r="K72" i="65"/>
  <c r="N72" i="65" s="1"/>
  <c r="K71" i="65"/>
  <c r="N71" i="65" s="1"/>
  <c r="K70" i="65"/>
  <c r="N70" i="65" s="1"/>
  <c r="K69" i="65"/>
  <c r="N69" i="65" s="1"/>
  <c r="K68" i="65"/>
  <c r="N68" i="65" s="1"/>
  <c r="K67" i="65"/>
  <c r="N67" i="65" s="1"/>
  <c r="K66" i="65"/>
  <c r="N66" i="65" s="1"/>
  <c r="K65" i="65"/>
  <c r="N65" i="65" s="1"/>
  <c r="K64" i="65"/>
  <c r="N64" i="65" s="1"/>
  <c r="K63" i="65"/>
  <c r="N63" i="65" s="1"/>
  <c r="K62" i="65"/>
  <c r="N62" i="65" s="1"/>
  <c r="K61" i="65"/>
  <c r="N61" i="65" s="1"/>
  <c r="K60" i="65"/>
  <c r="N60" i="65" s="1"/>
  <c r="K59" i="65"/>
  <c r="N59" i="65" s="1"/>
  <c r="K58" i="65"/>
  <c r="N58" i="65" s="1"/>
  <c r="K57" i="65"/>
  <c r="N57" i="65" s="1"/>
  <c r="K56" i="65"/>
  <c r="N56" i="65" s="1"/>
  <c r="K55" i="65"/>
  <c r="N55" i="65" s="1"/>
  <c r="K54" i="65"/>
  <c r="N54" i="65" s="1"/>
  <c r="K53" i="65"/>
  <c r="N53" i="65" s="1"/>
  <c r="K52" i="65"/>
  <c r="N52" i="65" s="1"/>
  <c r="K51" i="65"/>
  <c r="N51" i="65" s="1"/>
  <c r="K50" i="65"/>
  <c r="N50" i="65" s="1"/>
  <c r="K49" i="65"/>
  <c r="N49" i="65" s="1"/>
  <c r="K48" i="65"/>
  <c r="N48" i="65" s="1"/>
  <c r="K47" i="65"/>
  <c r="N47" i="65" s="1"/>
  <c r="K46" i="65"/>
  <c r="N46" i="65" s="1"/>
  <c r="K45" i="65"/>
  <c r="N45" i="65" s="1"/>
  <c r="K44" i="65"/>
  <c r="N44" i="65" s="1"/>
  <c r="K43" i="65"/>
  <c r="N43" i="65" s="1"/>
  <c r="K42" i="65"/>
  <c r="N42" i="65" s="1"/>
  <c r="K41" i="65"/>
  <c r="N41" i="65" s="1"/>
  <c r="K40" i="65"/>
  <c r="N40" i="65" s="1"/>
  <c r="K39" i="65"/>
  <c r="N39" i="65" s="1"/>
  <c r="K38" i="65"/>
  <c r="N38" i="65" s="1"/>
  <c r="K37" i="65"/>
  <c r="N37" i="65" s="1"/>
  <c r="K36" i="65"/>
  <c r="N36" i="65" s="1"/>
  <c r="K35" i="65"/>
  <c r="N35" i="65" s="1"/>
  <c r="K34" i="65"/>
  <c r="N34" i="65" s="1"/>
  <c r="K33" i="65"/>
  <c r="N33" i="65" s="1"/>
  <c r="K32" i="65"/>
  <c r="N32" i="65" s="1"/>
  <c r="K31" i="65"/>
  <c r="N31" i="65" s="1"/>
  <c r="K30" i="65"/>
  <c r="N30" i="65" s="1"/>
  <c r="K29" i="65"/>
  <c r="N29" i="65" s="1"/>
  <c r="K28" i="65"/>
  <c r="N28" i="65" s="1"/>
  <c r="K27" i="65"/>
  <c r="N27" i="65" s="1"/>
  <c r="K26" i="65"/>
  <c r="N26" i="65" s="1"/>
  <c r="K25" i="65"/>
  <c r="N25" i="65" s="1"/>
  <c r="K24" i="65"/>
  <c r="N24" i="65" s="1"/>
  <c r="K23" i="65"/>
  <c r="N23" i="65" s="1"/>
  <c r="K22" i="65"/>
  <c r="N22" i="65" s="1"/>
  <c r="K21" i="65"/>
  <c r="N21" i="65" s="1"/>
  <c r="K20" i="65"/>
  <c r="N20" i="65" s="1"/>
  <c r="K19" i="65"/>
  <c r="N19" i="65" s="1"/>
  <c r="K18" i="65"/>
  <c r="N18" i="65" s="1"/>
  <c r="K17" i="65"/>
  <c r="N17" i="65" s="1"/>
  <c r="K16" i="65"/>
  <c r="N16" i="65" s="1"/>
  <c r="U15" i="65"/>
  <c r="Y10" i="65" s="1"/>
  <c r="K15" i="65"/>
  <c r="N15" i="65" s="1"/>
  <c r="U14" i="65"/>
  <c r="K14" i="65"/>
  <c r="N14" i="65" s="1"/>
  <c r="U13" i="65"/>
  <c r="K13" i="65"/>
  <c r="N13" i="65" s="1"/>
  <c r="K12" i="65"/>
  <c r="N12" i="65" s="1"/>
  <c r="K11" i="65"/>
  <c r="N11" i="65" s="1"/>
  <c r="U10" i="65"/>
  <c r="K10" i="65"/>
  <c r="N10" i="65" s="1"/>
  <c r="U9" i="65"/>
  <c r="Y17" i="65" s="1"/>
  <c r="K9" i="65"/>
  <c r="N9" i="65" s="1"/>
  <c r="K8" i="65"/>
  <c r="N8" i="65" s="1"/>
  <c r="K101" i="64"/>
  <c r="N101" i="64" s="1"/>
  <c r="K100" i="64"/>
  <c r="N100" i="64" s="1"/>
  <c r="K99" i="64"/>
  <c r="N99" i="64" s="1"/>
  <c r="K98" i="64"/>
  <c r="N98" i="64" s="1"/>
  <c r="K97" i="64"/>
  <c r="N97" i="64" s="1"/>
  <c r="K96" i="64"/>
  <c r="N96" i="64" s="1"/>
  <c r="K95" i="64"/>
  <c r="N95" i="64" s="1"/>
  <c r="K94" i="64"/>
  <c r="N94" i="64" s="1"/>
  <c r="K93" i="64"/>
  <c r="N93" i="64" s="1"/>
  <c r="K92" i="64"/>
  <c r="N92" i="64" s="1"/>
  <c r="K91" i="64"/>
  <c r="N91" i="64" s="1"/>
  <c r="K90" i="64"/>
  <c r="N90" i="64" s="1"/>
  <c r="K89" i="64"/>
  <c r="N89" i="64" s="1"/>
  <c r="K88" i="64"/>
  <c r="N88" i="64" s="1"/>
  <c r="K87" i="64"/>
  <c r="N87" i="64" s="1"/>
  <c r="K86" i="64"/>
  <c r="N86" i="64" s="1"/>
  <c r="K85" i="64"/>
  <c r="N85" i="64" s="1"/>
  <c r="K84" i="64"/>
  <c r="N84" i="64" s="1"/>
  <c r="K83" i="64"/>
  <c r="N83" i="64" s="1"/>
  <c r="K82" i="64"/>
  <c r="N82" i="64" s="1"/>
  <c r="K81" i="64"/>
  <c r="N81" i="64" s="1"/>
  <c r="K80" i="64"/>
  <c r="N80" i="64" s="1"/>
  <c r="K79" i="64"/>
  <c r="N79" i="64" s="1"/>
  <c r="K78" i="64"/>
  <c r="N78" i="64" s="1"/>
  <c r="K77" i="64"/>
  <c r="N77" i="64" s="1"/>
  <c r="K76" i="64"/>
  <c r="N76" i="64" s="1"/>
  <c r="K75" i="64"/>
  <c r="N75" i="64" s="1"/>
  <c r="K74" i="64"/>
  <c r="N74" i="64" s="1"/>
  <c r="K73" i="64"/>
  <c r="N73" i="64" s="1"/>
  <c r="K72" i="64"/>
  <c r="N72" i="64" s="1"/>
  <c r="K71" i="64"/>
  <c r="N71" i="64" s="1"/>
  <c r="K70" i="64"/>
  <c r="N70" i="64" s="1"/>
  <c r="K69" i="64"/>
  <c r="N69" i="64" s="1"/>
  <c r="K68" i="64"/>
  <c r="N68" i="64" s="1"/>
  <c r="K67" i="64"/>
  <c r="N67" i="64" s="1"/>
  <c r="K66" i="64"/>
  <c r="N66" i="64" s="1"/>
  <c r="K65" i="64"/>
  <c r="N65" i="64" s="1"/>
  <c r="K64" i="64"/>
  <c r="N64" i="64" s="1"/>
  <c r="K63" i="64"/>
  <c r="N63" i="64" s="1"/>
  <c r="K62" i="64"/>
  <c r="N62" i="64" s="1"/>
  <c r="K61" i="64"/>
  <c r="N61" i="64" s="1"/>
  <c r="K60" i="64"/>
  <c r="N60" i="64" s="1"/>
  <c r="K59" i="64"/>
  <c r="N59" i="64" s="1"/>
  <c r="K58" i="64"/>
  <c r="N58" i="64" s="1"/>
  <c r="K57" i="64"/>
  <c r="N57" i="64" s="1"/>
  <c r="K56" i="64"/>
  <c r="N56" i="64" s="1"/>
  <c r="K55" i="64"/>
  <c r="N55" i="64" s="1"/>
  <c r="K54" i="64"/>
  <c r="N54" i="64" s="1"/>
  <c r="K53" i="64"/>
  <c r="N53" i="64" s="1"/>
  <c r="K52" i="64"/>
  <c r="N52" i="64" s="1"/>
  <c r="K51" i="64"/>
  <c r="N51" i="64" s="1"/>
  <c r="K50" i="64"/>
  <c r="N50" i="64" s="1"/>
  <c r="K49" i="64"/>
  <c r="N49" i="64" s="1"/>
  <c r="K48" i="64"/>
  <c r="N48" i="64" s="1"/>
  <c r="K47" i="64"/>
  <c r="N47" i="64" s="1"/>
  <c r="K46" i="64"/>
  <c r="N46" i="64" s="1"/>
  <c r="K45" i="64"/>
  <c r="N45" i="64" s="1"/>
  <c r="K44" i="64"/>
  <c r="N44" i="64" s="1"/>
  <c r="K43" i="64"/>
  <c r="N43" i="64" s="1"/>
  <c r="K42" i="64"/>
  <c r="N42" i="64" s="1"/>
  <c r="K41" i="64"/>
  <c r="N41" i="64" s="1"/>
  <c r="K40" i="64"/>
  <c r="N40" i="64" s="1"/>
  <c r="K39" i="64"/>
  <c r="N39" i="64" s="1"/>
  <c r="K38" i="64"/>
  <c r="N38" i="64" s="1"/>
  <c r="K37" i="64"/>
  <c r="N37" i="64" s="1"/>
  <c r="K36" i="64"/>
  <c r="N36" i="64" s="1"/>
  <c r="K35" i="64"/>
  <c r="N35" i="64" s="1"/>
  <c r="K34" i="64"/>
  <c r="N34" i="64" s="1"/>
  <c r="K33" i="64"/>
  <c r="N33" i="64" s="1"/>
  <c r="K32" i="64"/>
  <c r="N32" i="64" s="1"/>
  <c r="K31" i="64"/>
  <c r="N31" i="64" s="1"/>
  <c r="K30" i="64"/>
  <c r="N30" i="64" s="1"/>
  <c r="K29" i="64"/>
  <c r="N29" i="64" s="1"/>
  <c r="K28" i="64"/>
  <c r="N28" i="64" s="1"/>
  <c r="K27" i="64"/>
  <c r="N27" i="64" s="1"/>
  <c r="K26" i="64"/>
  <c r="N26" i="64" s="1"/>
  <c r="K25" i="64"/>
  <c r="N25" i="64" s="1"/>
  <c r="K24" i="64"/>
  <c r="N24" i="64" s="1"/>
  <c r="K23" i="64"/>
  <c r="N23" i="64" s="1"/>
  <c r="K22" i="64"/>
  <c r="N22" i="64" s="1"/>
  <c r="K21" i="64"/>
  <c r="N21" i="64" s="1"/>
  <c r="K20" i="64"/>
  <c r="N20" i="64" s="1"/>
  <c r="K19" i="64"/>
  <c r="N19" i="64" s="1"/>
  <c r="K18" i="64"/>
  <c r="N18" i="64" s="1"/>
  <c r="K17" i="64"/>
  <c r="N17" i="64" s="1"/>
  <c r="K16" i="64"/>
  <c r="N16" i="64" s="1"/>
  <c r="U15" i="64"/>
  <c r="Y10" i="64" s="1"/>
  <c r="K15" i="64"/>
  <c r="N15" i="64" s="1"/>
  <c r="U14" i="64"/>
  <c r="K14" i="64"/>
  <c r="N14" i="64" s="1"/>
  <c r="U13" i="64"/>
  <c r="K13" i="64"/>
  <c r="N13" i="64" s="1"/>
  <c r="K12" i="64"/>
  <c r="N12" i="64" s="1"/>
  <c r="K11" i="64"/>
  <c r="N11" i="64" s="1"/>
  <c r="U10" i="64"/>
  <c r="K10" i="64"/>
  <c r="N10" i="64" s="1"/>
  <c r="U9" i="64"/>
  <c r="Y17" i="64" s="1"/>
  <c r="K9" i="64"/>
  <c r="N9" i="64" s="1"/>
  <c r="K8" i="64"/>
  <c r="K101" i="63"/>
  <c r="N101" i="63" s="1"/>
  <c r="K100" i="63"/>
  <c r="N100" i="63" s="1"/>
  <c r="K99" i="63"/>
  <c r="N99" i="63" s="1"/>
  <c r="K98" i="63"/>
  <c r="N98" i="63" s="1"/>
  <c r="K97" i="63"/>
  <c r="N97" i="63" s="1"/>
  <c r="K96" i="63"/>
  <c r="N96" i="63" s="1"/>
  <c r="K95" i="63"/>
  <c r="N95" i="63" s="1"/>
  <c r="K94" i="63"/>
  <c r="N94" i="63" s="1"/>
  <c r="K93" i="63"/>
  <c r="N93" i="63" s="1"/>
  <c r="K92" i="63"/>
  <c r="N92" i="63" s="1"/>
  <c r="K91" i="63"/>
  <c r="N91" i="63" s="1"/>
  <c r="K90" i="63"/>
  <c r="N90" i="63" s="1"/>
  <c r="K89" i="63"/>
  <c r="N89" i="63" s="1"/>
  <c r="K88" i="63"/>
  <c r="N88" i="63" s="1"/>
  <c r="K87" i="63"/>
  <c r="N87" i="63" s="1"/>
  <c r="K86" i="63"/>
  <c r="N86" i="63" s="1"/>
  <c r="K85" i="63"/>
  <c r="N85" i="63" s="1"/>
  <c r="K84" i="63"/>
  <c r="N84" i="63" s="1"/>
  <c r="K83" i="63"/>
  <c r="N83" i="63" s="1"/>
  <c r="K82" i="63"/>
  <c r="N82" i="63" s="1"/>
  <c r="K81" i="63"/>
  <c r="N81" i="63" s="1"/>
  <c r="K80" i="63"/>
  <c r="N80" i="63" s="1"/>
  <c r="K79" i="63"/>
  <c r="N79" i="63" s="1"/>
  <c r="K78" i="63"/>
  <c r="N78" i="63" s="1"/>
  <c r="K77" i="63"/>
  <c r="N77" i="63" s="1"/>
  <c r="K76" i="63"/>
  <c r="N76" i="63" s="1"/>
  <c r="K75" i="63"/>
  <c r="N75" i="63" s="1"/>
  <c r="K74" i="63"/>
  <c r="N74" i="63" s="1"/>
  <c r="K73" i="63"/>
  <c r="N73" i="63" s="1"/>
  <c r="K72" i="63"/>
  <c r="N72" i="63" s="1"/>
  <c r="K71" i="63"/>
  <c r="N71" i="63" s="1"/>
  <c r="K70" i="63"/>
  <c r="N70" i="63" s="1"/>
  <c r="K69" i="63"/>
  <c r="N69" i="63" s="1"/>
  <c r="K68" i="63"/>
  <c r="N68" i="63" s="1"/>
  <c r="K67" i="63"/>
  <c r="N67" i="63" s="1"/>
  <c r="K66" i="63"/>
  <c r="N66" i="63" s="1"/>
  <c r="K65" i="63"/>
  <c r="N65" i="63" s="1"/>
  <c r="K64" i="63"/>
  <c r="N64" i="63" s="1"/>
  <c r="K63" i="63"/>
  <c r="N63" i="63" s="1"/>
  <c r="K62" i="63"/>
  <c r="N62" i="63" s="1"/>
  <c r="K61" i="63"/>
  <c r="N61" i="63" s="1"/>
  <c r="K60" i="63"/>
  <c r="N60" i="63" s="1"/>
  <c r="K59" i="63"/>
  <c r="N59" i="63" s="1"/>
  <c r="K58" i="63"/>
  <c r="N58" i="63" s="1"/>
  <c r="K57" i="63"/>
  <c r="N57" i="63" s="1"/>
  <c r="K56" i="63"/>
  <c r="N56" i="63" s="1"/>
  <c r="K55" i="63"/>
  <c r="N55" i="63" s="1"/>
  <c r="K54" i="63"/>
  <c r="N54" i="63" s="1"/>
  <c r="K53" i="63"/>
  <c r="N53" i="63" s="1"/>
  <c r="K52" i="63"/>
  <c r="N52" i="63" s="1"/>
  <c r="K51" i="63"/>
  <c r="N51" i="63" s="1"/>
  <c r="K50" i="63"/>
  <c r="N50" i="63" s="1"/>
  <c r="K49" i="63"/>
  <c r="N49" i="63" s="1"/>
  <c r="K48" i="63"/>
  <c r="N48" i="63" s="1"/>
  <c r="K47" i="63"/>
  <c r="N47" i="63" s="1"/>
  <c r="K46" i="63"/>
  <c r="N46" i="63" s="1"/>
  <c r="K45" i="63"/>
  <c r="N45" i="63" s="1"/>
  <c r="K44" i="63"/>
  <c r="N44" i="63" s="1"/>
  <c r="K43" i="63"/>
  <c r="N43" i="63" s="1"/>
  <c r="K42" i="63"/>
  <c r="N42" i="63" s="1"/>
  <c r="K41" i="63"/>
  <c r="N41" i="63" s="1"/>
  <c r="K40" i="63"/>
  <c r="N40" i="63" s="1"/>
  <c r="K39" i="63"/>
  <c r="N39" i="63" s="1"/>
  <c r="K38" i="63"/>
  <c r="N38" i="63" s="1"/>
  <c r="K37" i="63"/>
  <c r="N37" i="63" s="1"/>
  <c r="K36" i="63"/>
  <c r="N36" i="63" s="1"/>
  <c r="K35" i="63"/>
  <c r="N35" i="63" s="1"/>
  <c r="K34" i="63"/>
  <c r="N34" i="63" s="1"/>
  <c r="K33" i="63"/>
  <c r="N33" i="63" s="1"/>
  <c r="K32" i="63"/>
  <c r="N32" i="63" s="1"/>
  <c r="K31" i="63"/>
  <c r="N31" i="63" s="1"/>
  <c r="K30" i="63"/>
  <c r="N30" i="63" s="1"/>
  <c r="K29" i="63"/>
  <c r="N29" i="63" s="1"/>
  <c r="K28" i="63"/>
  <c r="N28" i="63" s="1"/>
  <c r="K27" i="63"/>
  <c r="N27" i="63" s="1"/>
  <c r="K26" i="63"/>
  <c r="N26" i="63" s="1"/>
  <c r="K25" i="63"/>
  <c r="N25" i="63" s="1"/>
  <c r="K24" i="63"/>
  <c r="N24" i="63" s="1"/>
  <c r="K23" i="63"/>
  <c r="N23" i="63" s="1"/>
  <c r="K22" i="63"/>
  <c r="N22" i="63" s="1"/>
  <c r="K21" i="63"/>
  <c r="N21" i="63" s="1"/>
  <c r="K20" i="63"/>
  <c r="N20" i="63" s="1"/>
  <c r="K19" i="63"/>
  <c r="N19" i="63" s="1"/>
  <c r="K18" i="63"/>
  <c r="N18" i="63" s="1"/>
  <c r="K17" i="63"/>
  <c r="N17" i="63" s="1"/>
  <c r="K16" i="63"/>
  <c r="N16" i="63" s="1"/>
  <c r="U15" i="63"/>
  <c r="Y10" i="63" s="1"/>
  <c r="K15" i="63"/>
  <c r="N15" i="63" s="1"/>
  <c r="U14" i="63"/>
  <c r="K14" i="63"/>
  <c r="N14" i="63" s="1"/>
  <c r="U13" i="63"/>
  <c r="K13" i="63"/>
  <c r="N13" i="63" s="1"/>
  <c r="K12" i="63"/>
  <c r="N12" i="63" s="1"/>
  <c r="K11" i="63"/>
  <c r="N11" i="63" s="1"/>
  <c r="U10" i="63"/>
  <c r="K10" i="63"/>
  <c r="N10" i="63" s="1"/>
  <c r="U9" i="63"/>
  <c r="Y17" i="63" s="1"/>
  <c r="Y21" i="63" s="1"/>
  <c r="K9" i="63"/>
  <c r="N9" i="63" s="1"/>
  <c r="K8" i="63"/>
  <c r="N8" i="63" s="1"/>
  <c r="K101" i="62"/>
  <c r="N101" i="62" s="1"/>
  <c r="K100" i="62"/>
  <c r="N100" i="62" s="1"/>
  <c r="K99" i="62"/>
  <c r="N99" i="62" s="1"/>
  <c r="K98" i="62"/>
  <c r="N98" i="62" s="1"/>
  <c r="K97" i="62"/>
  <c r="N97" i="62" s="1"/>
  <c r="K96" i="62"/>
  <c r="N96" i="62" s="1"/>
  <c r="K95" i="62"/>
  <c r="N95" i="62" s="1"/>
  <c r="K94" i="62"/>
  <c r="N94" i="62" s="1"/>
  <c r="K93" i="62"/>
  <c r="N93" i="62" s="1"/>
  <c r="K92" i="62"/>
  <c r="N92" i="62" s="1"/>
  <c r="K91" i="62"/>
  <c r="N91" i="62" s="1"/>
  <c r="K90" i="62"/>
  <c r="N90" i="62" s="1"/>
  <c r="K89" i="62"/>
  <c r="N89" i="62" s="1"/>
  <c r="K88" i="62"/>
  <c r="N88" i="62" s="1"/>
  <c r="K87" i="62"/>
  <c r="N87" i="62" s="1"/>
  <c r="K86" i="62"/>
  <c r="N86" i="62" s="1"/>
  <c r="K85" i="62"/>
  <c r="N85" i="62" s="1"/>
  <c r="K84" i="62"/>
  <c r="N84" i="62" s="1"/>
  <c r="K83" i="62"/>
  <c r="N83" i="62" s="1"/>
  <c r="K82" i="62"/>
  <c r="N82" i="62" s="1"/>
  <c r="K81" i="62"/>
  <c r="N81" i="62" s="1"/>
  <c r="K80" i="62"/>
  <c r="N80" i="62" s="1"/>
  <c r="K79" i="62"/>
  <c r="N79" i="62" s="1"/>
  <c r="K78" i="62"/>
  <c r="N78" i="62" s="1"/>
  <c r="K77" i="62"/>
  <c r="N77" i="62" s="1"/>
  <c r="K76" i="62"/>
  <c r="N76" i="62" s="1"/>
  <c r="K75" i="62"/>
  <c r="N75" i="62" s="1"/>
  <c r="K74" i="62"/>
  <c r="N74" i="62" s="1"/>
  <c r="K73" i="62"/>
  <c r="N73" i="62" s="1"/>
  <c r="K72" i="62"/>
  <c r="N72" i="62" s="1"/>
  <c r="K71" i="62"/>
  <c r="N71" i="62" s="1"/>
  <c r="K70" i="62"/>
  <c r="N70" i="62" s="1"/>
  <c r="K69" i="62"/>
  <c r="N69" i="62" s="1"/>
  <c r="K68" i="62"/>
  <c r="N68" i="62" s="1"/>
  <c r="K67" i="62"/>
  <c r="N67" i="62" s="1"/>
  <c r="K66" i="62"/>
  <c r="N66" i="62" s="1"/>
  <c r="K65" i="62"/>
  <c r="N65" i="62" s="1"/>
  <c r="K64" i="62"/>
  <c r="N64" i="62" s="1"/>
  <c r="K63" i="62"/>
  <c r="N63" i="62" s="1"/>
  <c r="K62" i="62"/>
  <c r="N62" i="62" s="1"/>
  <c r="K61" i="62"/>
  <c r="N61" i="62" s="1"/>
  <c r="K60" i="62"/>
  <c r="N60" i="62" s="1"/>
  <c r="K59" i="62"/>
  <c r="N59" i="62" s="1"/>
  <c r="K58" i="62"/>
  <c r="N58" i="62" s="1"/>
  <c r="K57" i="62"/>
  <c r="N57" i="62" s="1"/>
  <c r="K56" i="62"/>
  <c r="N56" i="62" s="1"/>
  <c r="K55" i="62"/>
  <c r="N55" i="62" s="1"/>
  <c r="K54" i="62"/>
  <c r="N54" i="62" s="1"/>
  <c r="K53" i="62"/>
  <c r="N53" i="62" s="1"/>
  <c r="K52" i="62"/>
  <c r="N52" i="62" s="1"/>
  <c r="K51" i="62"/>
  <c r="N51" i="62" s="1"/>
  <c r="K50" i="62"/>
  <c r="N50" i="62" s="1"/>
  <c r="K49" i="62"/>
  <c r="N49" i="62" s="1"/>
  <c r="K48" i="62"/>
  <c r="N48" i="62" s="1"/>
  <c r="K47" i="62"/>
  <c r="N47" i="62" s="1"/>
  <c r="K46" i="62"/>
  <c r="N46" i="62" s="1"/>
  <c r="K45" i="62"/>
  <c r="N45" i="62" s="1"/>
  <c r="K44" i="62"/>
  <c r="N44" i="62" s="1"/>
  <c r="K43" i="62"/>
  <c r="N43" i="62" s="1"/>
  <c r="K42" i="62"/>
  <c r="N42" i="62" s="1"/>
  <c r="K41" i="62"/>
  <c r="N41" i="62" s="1"/>
  <c r="K40" i="62"/>
  <c r="N40" i="62" s="1"/>
  <c r="K39" i="62"/>
  <c r="N39" i="62" s="1"/>
  <c r="K38" i="62"/>
  <c r="N38" i="62" s="1"/>
  <c r="K37" i="62"/>
  <c r="N37" i="62" s="1"/>
  <c r="K36" i="62"/>
  <c r="N36" i="62" s="1"/>
  <c r="K35" i="62"/>
  <c r="N35" i="62" s="1"/>
  <c r="K34" i="62"/>
  <c r="N34" i="62" s="1"/>
  <c r="K33" i="62"/>
  <c r="N33" i="62" s="1"/>
  <c r="K32" i="62"/>
  <c r="N32" i="62" s="1"/>
  <c r="K31" i="62"/>
  <c r="N31" i="62" s="1"/>
  <c r="K30" i="62"/>
  <c r="N30" i="62" s="1"/>
  <c r="K29" i="62"/>
  <c r="N29" i="62" s="1"/>
  <c r="K28" i="62"/>
  <c r="N28" i="62" s="1"/>
  <c r="K27" i="62"/>
  <c r="N27" i="62" s="1"/>
  <c r="K26" i="62"/>
  <c r="N26" i="62" s="1"/>
  <c r="K25" i="62"/>
  <c r="N25" i="62" s="1"/>
  <c r="K24" i="62"/>
  <c r="N24" i="62" s="1"/>
  <c r="K23" i="62"/>
  <c r="N23" i="62" s="1"/>
  <c r="K22" i="62"/>
  <c r="N22" i="62" s="1"/>
  <c r="U15" i="62" s="1"/>
  <c r="Y10" i="62" s="1"/>
  <c r="K21" i="62"/>
  <c r="N21" i="62" s="1"/>
  <c r="K20" i="62"/>
  <c r="N20" i="62" s="1"/>
  <c r="K19" i="62"/>
  <c r="N19" i="62" s="1"/>
  <c r="K18" i="62"/>
  <c r="N18" i="62" s="1"/>
  <c r="K17" i="62"/>
  <c r="N17" i="62" s="1"/>
  <c r="K16" i="62"/>
  <c r="N16" i="62" s="1"/>
  <c r="K15" i="62"/>
  <c r="N15" i="62" s="1"/>
  <c r="U14" i="62"/>
  <c r="K14" i="62"/>
  <c r="N14" i="62" s="1"/>
  <c r="U13" i="62"/>
  <c r="K13" i="62"/>
  <c r="N13" i="62" s="1"/>
  <c r="K12" i="62"/>
  <c r="N12" i="62" s="1"/>
  <c r="K11" i="62"/>
  <c r="N11" i="62" s="1"/>
  <c r="U10" i="62"/>
  <c r="K10" i="62"/>
  <c r="N10" i="62" s="1"/>
  <c r="U9" i="62"/>
  <c r="Y17" i="62" s="1"/>
  <c r="K8" i="62"/>
  <c r="N8" i="62" s="1"/>
  <c r="K101" i="61"/>
  <c r="N101" i="61" s="1"/>
  <c r="K100" i="61"/>
  <c r="N100" i="61" s="1"/>
  <c r="K99" i="61"/>
  <c r="N99" i="61" s="1"/>
  <c r="K98" i="61"/>
  <c r="N98" i="61" s="1"/>
  <c r="K97" i="61"/>
  <c r="N97" i="61" s="1"/>
  <c r="K96" i="61"/>
  <c r="N96" i="61" s="1"/>
  <c r="K95" i="61"/>
  <c r="N95" i="61" s="1"/>
  <c r="K94" i="61"/>
  <c r="N94" i="61" s="1"/>
  <c r="K93" i="61"/>
  <c r="N93" i="61" s="1"/>
  <c r="K92" i="61"/>
  <c r="N92" i="61" s="1"/>
  <c r="K91" i="61"/>
  <c r="N91" i="61" s="1"/>
  <c r="K90" i="61"/>
  <c r="N90" i="61" s="1"/>
  <c r="K89" i="61"/>
  <c r="N89" i="61" s="1"/>
  <c r="K88" i="61"/>
  <c r="N88" i="61" s="1"/>
  <c r="K87" i="61"/>
  <c r="N87" i="61" s="1"/>
  <c r="K86" i="61"/>
  <c r="N86" i="61" s="1"/>
  <c r="K85" i="61"/>
  <c r="N85" i="61" s="1"/>
  <c r="K84" i="61"/>
  <c r="N84" i="61" s="1"/>
  <c r="K83" i="61"/>
  <c r="N83" i="61" s="1"/>
  <c r="K82" i="61"/>
  <c r="N82" i="61" s="1"/>
  <c r="K81" i="61"/>
  <c r="N81" i="61" s="1"/>
  <c r="K80" i="61"/>
  <c r="N80" i="61" s="1"/>
  <c r="K79" i="61"/>
  <c r="N79" i="61" s="1"/>
  <c r="K78" i="61"/>
  <c r="N78" i="61" s="1"/>
  <c r="K77" i="61"/>
  <c r="N77" i="61" s="1"/>
  <c r="K76" i="61"/>
  <c r="N76" i="61" s="1"/>
  <c r="K75" i="61"/>
  <c r="N75" i="61" s="1"/>
  <c r="K74" i="61"/>
  <c r="N74" i="61" s="1"/>
  <c r="K73" i="61"/>
  <c r="N73" i="61" s="1"/>
  <c r="K72" i="61"/>
  <c r="N72" i="61" s="1"/>
  <c r="K71" i="61"/>
  <c r="N71" i="61" s="1"/>
  <c r="K70" i="61"/>
  <c r="N70" i="61" s="1"/>
  <c r="K69" i="61"/>
  <c r="N69" i="61" s="1"/>
  <c r="K68" i="61"/>
  <c r="N68" i="61" s="1"/>
  <c r="K67" i="61"/>
  <c r="N67" i="61" s="1"/>
  <c r="K66" i="61"/>
  <c r="N66" i="61" s="1"/>
  <c r="K65" i="61"/>
  <c r="N65" i="61" s="1"/>
  <c r="K64" i="61"/>
  <c r="N64" i="61" s="1"/>
  <c r="K63" i="61"/>
  <c r="N63" i="61" s="1"/>
  <c r="K62" i="61"/>
  <c r="N62" i="61" s="1"/>
  <c r="K61" i="61"/>
  <c r="N61" i="61" s="1"/>
  <c r="K60" i="61"/>
  <c r="N60" i="61" s="1"/>
  <c r="K59" i="61"/>
  <c r="N59" i="61" s="1"/>
  <c r="K58" i="61"/>
  <c r="N58" i="61" s="1"/>
  <c r="K57" i="61"/>
  <c r="N57" i="61" s="1"/>
  <c r="K56" i="61"/>
  <c r="N56" i="61" s="1"/>
  <c r="K55" i="61"/>
  <c r="N55" i="61" s="1"/>
  <c r="K54" i="61"/>
  <c r="N54" i="61" s="1"/>
  <c r="K53" i="61"/>
  <c r="N53" i="61" s="1"/>
  <c r="K52" i="61"/>
  <c r="N52" i="61" s="1"/>
  <c r="K51" i="61"/>
  <c r="N51" i="61" s="1"/>
  <c r="K50" i="61"/>
  <c r="N50" i="61" s="1"/>
  <c r="K49" i="61"/>
  <c r="N49" i="61" s="1"/>
  <c r="K48" i="61"/>
  <c r="N48" i="61" s="1"/>
  <c r="K47" i="61"/>
  <c r="N47" i="61" s="1"/>
  <c r="K46" i="61"/>
  <c r="N46" i="61" s="1"/>
  <c r="K45" i="61"/>
  <c r="N45" i="61" s="1"/>
  <c r="K44" i="61"/>
  <c r="N44" i="61" s="1"/>
  <c r="K43" i="61"/>
  <c r="N43" i="61" s="1"/>
  <c r="K42" i="61"/>
  <c r="N42" i="61" s="1"/>
  <c r="K41" i="61"/>
  <c r="N41" i="61" s="1"/>
  <c r="K40" i="61"/>
  <c r="N40" i="61" s="1"/>
  <c r="K39" i="61"/>
  <c r="N39" i="61" s="1"/>
  <c r="K38" i="61"/>
  <c r="N38" i="61" s="1"/>
  <c r="K37" i="61"/>
  <c r="N37" i="61" s="1"/>
  <c r="K36" i="61"/>
  <c r="N36" i="61" s="1"/>
  <c r="K35" i="61"/>
  <c r="N35" i="61" s="1"/>
  <c r="K34" i="61"/>
  <c r="N34" i="61" s="1"/>
  <c r="K33" i="61"/>
  <c r="N33" i="61" s="1"/>
  <c r="K32" i="61"/>
  <c r="N32" i="61" s="1"/>
  <c r="K31" i="61"/>
  <c r="N31" i="61" s="1"/>
  <c r="K30" i="61"/>
  <c r="N30" i="61" s="1"/>
  <c r="K29" i="61"/>
  <c r="N29" i="61" s="1"/>
  <c r="K28" i="61"/>
  <c r="N28" i="61" s="1"/>
  <c r="K27" i="61"/>
  <c r="N27" i="61" s="1"/>
  <c r="K26" i="61"/>
  <c r="N26" i="61" s="1"/>
  <c r="K25" i="61"/>
  <c r="N25" i="61" s="1"/>
  <c r="K24" i="61"/>
  <c r="N24" i="61" s="1"/>
  <c r="K23" i="61"/>
  <c r="N23" i="61" s="1"/>
  <c r="K22" i="61"/>
  <c r="N22" i="61" s="1"/>
  <c r="K21" i="61"/>
  <c r="N21" i="61" s="1"/>
  <c r="K20" i="61"/>
  <c r="N20" i="61" s="1"/>
  <c r="K19" i="61"/>
  <c r="N19" i="61" s="1"/>
  <c r="K18" i="61"/>
  <c r="N18" i="61" s="1"/>
  <c r="K17" i="61"/>
  <c r="N17" i="61" s="1"/>
  <c r="K16" i="61"/>
  <c r="N16" i="61" s="1"/>
  <c r="K15" i="61"/>
  <c r="N15" i="61" s="1"/>
  <c r="U14" i="61"/>
  <c r="K14" i="61"/>
  <c r="N14" i="61" s="1"/>
  <c r="K13" i="61"/>
  <c r="N13" i="61" s="1"/>
  <c r="K12" i="61"/>
  <c r="N12" i="61" s="1"/>
  <c r="K11" i="61"/>
  <c r="N11" i="61" s="1"/>
  <c r="U10" i="61"/>
  <c r="K10" i="61"/>
  <c r="N10" i="61" s="1"/>
  <c r="U9" i="61"/>
  <c r="Y17" i="61" s="1"/>
  <c r="K9" i="61"/>
  <c r="N9" i="61" s="1"/>
  <c r="K8" i="61"/>
  <c r="N8" i="61" s="1"/>
  <c r="N101" i="60"/>
  <c r="N100" i="60"/>
  <c r="N99" i="60"/>
  <c r="N98" i="60"/>
  <c r="N97" i="60"/>
  <c r="N96" i="60"/>
  <c r="N95" i="60"/>
  <c r="N94" i="60"/>
  <c r="N93" i="60"/>
  <c r="N92" i="60"/>
  <c r="N91" i="60"/>
  <c r="N90" i="60"/>
  <c r="N89" i="60"/>
  <c r="N88" i="60"/>
  <c r="N87" i="60"/>
  <c r="N86" i="60"/>
  <c r="N85" i="60"/>
  <c r="N84" i="60"/>
  <c r="N83" i="60"/>
  <c r="N82" i="60"/>
  <c r="N81" i="60"/>
  <c r="N80" i="60"/>
  <c r="N79" i="60"/>
  <c r="N78" i="60"/>
  <c r="N77" i="60"/>
  <c r="N76" i="60"/>
  <c r="N75" i="60"/>
  <c r="N74" i="60"/>
  <c r="N73" i="60"/>
  <c r="N72" i="60"/>
  <c r="N71" i="60"/>
  <c r="N70" i="60"/>
  <c r="N69" i="60"/>
  <c r="N68" i="60"/>
  <c r="N67" i="60"/>
  <c r="N66" i="60"/>
  <c r="N65" i="60"/>
  <c r="N64" i="60"/>
  <c r="N63" i="60"/>
  <c r="N62" i="60"/>
  <c r="N61" i="60"/>
  <c r="N60" i="60"/>
  <c r="N59" i="60"/>
  <c r="N58" i="60"/>
  <c r="N57" i="60"/>
  <c r="N56" i="60"/>
  <c r="N55" i="60"/>
  <c r="N54" i="60"/>
  <c r="N53" i="60"/>
  <c r="N52" i="60"/>
  <c r="N51" i="60"/>
  <c r="N50" i="60"/>
  <c r="N49" i="60"/>
  <c r="N48" i="60"/>
  <c r="N47" i="60"/>
  <c r="N46" i="60"/>
  <c r="N45" i="60"/>
  <c r="N44" i="60"/>
  <c r="N43" i="60"/>
  <c r="N42" i="60"/>
  <c r="N41" i="60"/>
  <c r="N40" i="60"/>
  <c r="N39" i="60"/>
  <c r="N38" i="60"/>
  <c r="N37" i="60"/>
  <c r="N36" i="60"/>
  <c r="N35" i="60"/>
  <c r="N34" i="60"/>
  <c r="N33" i="60"/>
  <c r="N32" i="60"/>
  <c r="N31" i="60"/>
  <c r="N30" i="60"/>
  <c r="N29" i="60"/>
  <c r="N28" i="60"/>
  <c r="N27" i="60"/>
  <c r="N26" i="60"/>
  <c r="N25" i="60"/>
  <c r="N24" i="60"/>
  <c r="N23" i="60"/>
  <c r="N22" i="60"/>
  <c r="N21" i="60"/>
  <c r="N20" i="60"/>
  <c r="N19" i="60"/>
  <c r="N18" i="60"/>
  <c r="N17" i="60"/>
  <c r="N16" i="60"/>
  <c r="N15" i="60"/>
  <c r="U14" i="60"/>
  <c r="N14" i="60"/>
  <c r="N12" i="60"/>
  <c r="N11" i="60"/>
  <c r="U10" i="60"/>
  <c r="N10" i="60"/>
  <c r="U9" i="60"/>
  <c r="Y17" i="60" s="1"/>
  <c r="N9" i="60"/>
  <c r="N8" i="60"/>
  <c r="U13" i="60" s="1"/>
  <c r="K101" i="59"/>
  <c r="N101" i="59" s="1"/>
  <c r="K100" i="59"/>
  <c r="N100" i="59" s="1"/>
  <c r="K99" i="59"/>
  <c r="N99" i="59" s="1"/>
  <c r="K98" i="59"/>
  <c r="N98" i="59" s="1"/>
  <c r="K97" i="59"/>
  <c r="N97" i="59" s="1"/>
  <c r="K96" i="59"/>
  <c r="N96" i="59" s="1"/>
  <c r="K95" i="59"/>
  <c r="N95" i="59" s="1"/>
  <c r="K94" i="59"/>
  <c r="N94" i="59" s="1"/>
  <c r="K93" i="59"/>
  <c r="N93" i="59" s="1"/>
  <c r="K92" i="59"/>
  <c r="N92" i="59" s="1"/>
  <c r="K91" i="59"/>
  <c r="N91" i="59" s="1"/>
  <c r="K90" i="59"/>
  <c r="N90" i="59" s="1"/>
  <c r="K89" i="59"/>
  <c r="N89" i="59" s="1"/>
  <c r="K88" i="59"/>
  <c r="N88" i="59" s="1"/>
  <c r="K87" i="59"/>
  <c r="N87" i="59" s="1"/>
  <c r="K86" i="59"/>
  <c r="N86" i="59" s="1"/>
  <c r="K85" i="59"/>
  <c r="N85" i="59" s="1"/>
  <c r="K84" i="59"/>
  <c r="N84" i="59" s="1"/>
  <c r="K83" i="59"/>
  <c r="N83" i="59" s="1"/>
  <c r="K82" i="59"/>
  <c r="N82" i="59" s="1"/>
  <c r="K81" i="59"/>
  <c r="N81" i="59" s="1"/>
  <c r="K80" i="59"/>
  <c r="N80" i="59" s="1"/>
  <c r="K79" i="59"/>
  <c r="N79" i="59" s="1"/>
  <c r="K78" i="59"/>
  <c r="N78" i="59" s="1"/>
  <c r="K77" i="59"/>
  <c r="N77" i="59" s="1"/>
  <c r="K76" i="59"/>
  <c r="N76" i="59" s="1"/>
  <c r="K75" i="59"/>
  <c r="N75" i="59" s="1"/>
  <c r="K74" i="59"/>
  <c r="N74" i="59" s="1"/>
  <c r="K73" i="59"/>
  <c r="N73" i="59" s="1"/>
  <c r="K72" i="59"/>
  <c r="N72" i="59" s="1"/>
  <c r="K71" i="59"/>
  <c r="N71" i="59" s="1"/>
  <c r="K70" i="59"/>
  <c r="N70" i="59" s="1"/>
  <c r="K69" i="59"/>
  <c r="N69" i="59" s="1"/>
  <c r="K68" i="59"/>
  <c r="N68" i="59" s="1"/>
  <c r="K67" i="59"/>
  <c r="N67" i="59" s="1"/>
  <c r="K66" i="59"/>
  <c r="N66" i="59" s="1"/>
  <c r="K65" i="59"/>
  <c r="N65" i="59" s="1"/>
  <c r="K64" i="59"/>
  <c r="N64" i="59" s="1"/>
  <c r="K63" i="59"/>
  <c r="N63" i="59" s="1"/>
  <c r="K62" i="59"/>
  <c r="N62" i="59" s="1"/>
  <c r="K61" i="59"/>
  <c r="N61" i="59" s="1"/>
  <c r="K60" i="59"/>
  <c r="N60" i="59" s="1"/>
  <c r="K59" i="59"/>
  <c r="N59" i="59" s="1"/>
  <c r="K58" i="59"/>
  <c r="N58" i="59" s="1"/>
  <c r="K57" i="59"/>
  <c r="N57" i="59" s="1"/>
  <c r="K56" i="59"/>
  <c r="N56" i="59" s="1"/>
  <c r="K55" i="59"/>
  <c r="N55" i="59" s="1"/>
  <c r="K54" i="59"/>
  <c r="N54" i="59" s="1"/>
  <c r="K53" i="59"/>
  <c r="N53" i="59" s="1"/>
  <c r="K52" i="59"/>
  <c r="N52" i="59" s="1"/>
  <c r="K51" i="59"/>
  <c r="N51" i="59" s="1"/>
  <c r="K50" i="59"/>
  <c r="N50" i="59" s="1"/>
  <c r="K49" i="59"/>
  <c r="N49" i="59" s="1"/>
  <c r="K48" i="59"/>
  <c r="N48" i="59" s="1"/>
  <c r="K47" i="59"/>
  <c r="N47" i="59" s="1"/>
  <c r="K46" i="59"/>
  <c r="N46" i="59" s="1"/>
  <c r="K45" i="59"/>
  <c r="N45" i="59" s="1"/>
  <c r="K44" i="59"/>
  <c r="N44" i="59" s="1"/>
  <c r="K43" i="59"/>
  <c r="N43" i="59" s="1"/>
  <c r="K42" i="59"/>
  <c r="N42" i="59" s="1"/>
  <c r="K41" i="59"/>
  <c r="N41" i="59" s="1"/>
  <c r="K40" i="59"/>
  <c r="N40" i="59" s="1"/>
  <c r="K39" i="59"/>
  <c r="N39" i="59" s="1"/>
  <c r="K38" i="59"/>
  <c r="N38" i="59" s="1"/>
  <c r="K37" i="59"/>
  <c r="N37" i="59" s="1"/>
  <c r="K36" i="59"/>
  <c r="N36" i="59" s="1"/>
  <c r="K35" i="59"/>
  <c r="N35" i="59" s="1"/>
  <c r="K34" i="59"/>
  <c r="N34" i="59" s="1"/>
  <c r="K33" i="59"/>
  <c r="N33" i="59" s="1"/>
  <c r="K32" i="59"/>
  <c r="N32" i="59" s="1"/>
  <c r="K31" i="59"/>
  <c r="N31" i="59" s="1"/>
  <c r="K30" i="59"/>
  <c r="N30" i="59" s="1"/>
  <c r="K29" i="59"/>
  <c r="N29" i="59" s="1"/>
  <c r="K28" i="59"/>
  <c r="N28" i="59" s="1"/>
  <c r="K27" i="59"/>
  <c r="N27" i="59" s="1"/>
  <c r="K26" i="59"/>
  <c r="N26" i="59" s="1"/>
  <c r="K25" i="59"/>
  <c r="N25" i="59" s="1"/>
  <c r="K24" i="59"/>
  <c r="N24" i="59" s="1"/>
  <c r="K23" i="59"/>
  <c r="N23" i="59" s="1"/>
  <c r="K22" i="59"/>
  <c r="N22" i="59" s="1"/>
  <c r="K21" i="59"/>
  <c r="N21" i="59" s="1"/>
  <c r="K19" i="59"/>
  <c r="N19" i="59" s="1"/>
  <c r="K17" i="59"/>
  <c r="N17" i="59" s="1"/>
  <c r="K16" i="59"/>
  <c r="N16" i="59" s="1"/>
  <c r="U14" i="59"/>
  <c r="K14" i="59"/>
  <c r="N14" i="59" s="1"/>
  <c r="K13" i="59"/>
  <c r="N13" i="59" s="1"/>
  <c r="K12" i="59"/>
  <c r="N12" i="59" s="1"/>
  <c r="K11" i="59"/>
  <c r="N11" i="59" s="1"/>
  <c r="U10" i="59"/>
  <c r="K10" i="59"/>
  <c r="N10" i="59" s="1"/>
  <c r="U9" i="59"/>
  <c r="Y17" i="59" s="1"/>
  <c r="K9" i="59"/>
  <c r="N9" i="59" s="1"/>
  <c r="K8" i="59"/>
  <c r="N8" i="59" s="1"/>
  <c r="K101" i="58"/>
  <c r="N101" i="58" s="1"/>
  <c r="K100" i="58"/>
  <c r="N100" i="58" s="1"/>
  <c r="K99" i="58"/>
  <c r="N99" i="58" s="1"/>
  <c r="K98" i="58"/>
  <c r="N98" i="58" s="1"/>
  <c r="K97" i="58"/>
  <c r="N97" i="58" s="1"/>
  <c r="K96" i="58"/>
  <c r="N96" i="58" s="1"/>
  <c r="K95" i="58"/>
  <c r="N95" i="58" s="1"/>
  <c r="K94" i="58"/>
  <c r="N94" i="58" s="1"/>
  <c r="K93" i="58"/>
  <c r="N93" i="58" s="1"/>
  <c r="K92" i="58"/>
  <c r="N92" i="58" s="1"/>
  <c r="K91" i="58"/>
  <c r="N91" i="58" s="1"/>
  <c r="K90" i="58"/>
  <c r="N90" i="58" s="1"/>
  <c r="K89" i="58"/>
  <c r="N89" i="58" s="1"/>
  <c r="K88" i="58"/>
  <c r="N88" i="58" s="1"/>
  <c r="K87" i="58"/>
  <c r="N87" i="58" s="1"/>
  <c r="K86" i="58"/>
  <c r="N86" i="58" s="1"/>
  <c r="K85" i="58"/>
  <c r="N85" i="58" s="1"/>
  <c r="K84" i="58"/>
  <c r="N84" i="58" s="1"/>
  <c r="K83" i="58"/>
  <c r="N83" i="58" s="1"/>
  <c r="K82" i="58"/>
  <c r="N82" i="58" s="1"/>
  <c r="K81" i="58"/>
  <c r="N81" i="58" s="1"/>
  <c r="K80" i="58"/>
  <c r="N80" i="58" s="1"/>
  <c r="K79" i="58"/>
  <c r="N79" i="58" s="1"/>
  <c r="K78" i="58"/>
  <c r="N78" i="58" s="1"/>
  <c r="K77" i="58"/>
  <c r="N77" i="58" s="1"/>
  <c r="K76" i="58"/>
  <c r="N76" i="58" s="1"/>
  <c r="K75" i="58"/>
  <c r="N75" i="58" s="1"/>
  <c r="K74" i="58"/>
  <c r="N74" i="58" s="1"/>
  <c r="K73" i="58"/>
  <c r="N73" i="58" s="1"/>
  <c r="K72" i="58"/>
  <c r="N72" i="58" s="1"/>
  <c r="K71" i="58"/>
  <c r="N71" i="58" s="1"/>
  <c r="K70" i="58"/>
  <c r="N70" i="58" s="1"/>
  <c r="K69" i="58"/>
  <c r="N69" i="58" s="1"/>
  <c r="K68" i="58"/>
  <c r="N68" i="58" s="1"/>
  <c r="K67" i="58"/>
  <c r="N67" i="58" s="1"/>
  <c r="K66" i="58"/>
  <c r="N66" i="58" s="1"/>
  <c r="K65" i="58"/>
  <c r="N65" i="58" s="1"/>
  <c r="K64" i="58"/>
  <c r="N64" i="58" s="1"/>
  <c r="K63" i="58"/>
  <c r="N63" i="58" s="1"/>
  <c r="K62" i="58"/>
  <c r="N62" i="58" s="1"/>
  <c r="K61" i="58"/>
  <c r="N61" i="58" s="1"/>
  <c r="K60" i="58"/>
  <c r="N60" i="58" s="1"/>
  <c r="K59" i="58"/>
  <c r="N59" i="58" s="1"/>
  <c r="K58" i="58"/>
  <c r="N58" i="58" s="1"/>
  <c r="K57" i="58"/>
  <c r="N57" i="58" s="1"/>
  <c r="K56" i="58"/>
  <c r="N56" i="58" s="1"/>
  <c r="K55" i="58"/>
  <c r="N55" i="58" s="1"/>
  <c r="K54" i="58"/>
  <c r="N54" i="58" s="1"/>
  <c r="K53" i="58"/>
  <c r="N53" i="58" s="1"/>
  <c r="K52" i="58"/>
  <c r="N52" i="58" s="1"/>
  <c r="K51" i="58"/>
  <c r="N51" i="58" s="1"/>
  <c r="K50" i="58"/>
  <c r="N50" i="58" s="1"/>
  <c r="K49" i="58"/>
  <c r="N49" i="58" s="1"/>
  <c r="K48" i="58"/>
  <c r="N48" i="58" s="1"/>
  <c r="K47" i="58"/>
  <c r="N47" i="58" s="1"/>
  <c r="K46" i="58"/>
  <c r="N46" i="58" s="1"/>
  <c r="K45" i="58"/>
  <c r="N45" i="58" s="1"/>
  <c r="K44" i="58"/>
  <c r="N44" i="58" s="1"/>
  <c r="K43" i="58"/>
  <c r="N43" i="58" s="1"/>
  <c r="K42" i="58"/>
  <c r="N42" i="58" s="1"/>
  <c r="K41" i="58"/>
  <c r="N41" i="58" s="1"/>
  <c r="K40" i="58"/>
  <c r="N40" i="58" s="1"/>
  <c r="K39" i="58"/>
  <c r="N39" i="58" s="1"/>
  <c r="K38" i="58"/>
  <c r="N38" i="58" s="1"/>
  <c r="K37" i="58"/>
  <c r="N37" i="58" s="1"/>
  <c r="K36" i="58"/>
  <c r="N36" i="58" s="1"/>
  <c r="K35" i="58"/>
  <c r="N35" i="58" s="1"/>
  <c r="K34" i="58"/>
  <c r="N34" i="58" s="1"/>
  <c r="K33" i="58"/>
  <c r="N33" i="58" s="1"/>
  <c r="K32" i="58"/>
  <c r="N32" i="58" s="1"/>
  <c r="K31" i="58"/>
  <c r="N31" i="58" s="1"/>
  <c r="K30" i="58"/>
  <c r="N30" i="58" s="1"/>
  <c r="K29" i="58"/>
  <c r="N29" i="58" s="1"/>
  <c r="K28" i="58"/>
  <c r="N28" i="58" s="1"/>
  <c r="K27" i="58"/>
  <c r="N27" i="58" s="1"/>
  <c r="K26" i="58"/>
  <c r="N26" i="58" s="1"/>
  <c r="K25" i="58"/>
  <c r="N25" i="58" s="1"/>
  <c r="K24" i="58"/>
  <c r="N24" i="58" s="1"/>
  <c r="K23" i="58"/>
  <c r="N23" i="58" s="1"/>
  <c r="K22" i="58"/>
  <c r="K21" i="58"/>
  <c r="K20" i="58"/>
  <c r="N20" i="58" s="1"/>
  <c r="N19" i="58"/>
  <c r="K18" i="58"/>
  <c r="N18" i="58" s="1"/>
  <c r="U15" i="58" s="1"/>
  <c r="Y10" i="58" s="1"/>
  <c r="K17" i="58"/>
  <c r="N17" i="58" s="1"/>
  <c r="K16" i="58"/>
  <c r="N16" i="58" s="1"/>
  <c r="K15" i="58"/>
  <c r="N15" i="58" s="1"/>
  <c r="U14" i="58"/>
  <c r="K14" i="58"/>
  <c r="N14" i="58" s="1"/>
  <c r="K13" i="58"/>
  <c r="N13" i="58" s="1"/>
  <c r="K12" i="58"/>
  <c r="N12" i="58" s="1"/>
  <c r="K11" i="58"/>
  <c r="N11" i="58" s="1"/>
  <c r="U10" i="58"/>
  <c r="K10" i="58"/>
  <c r="N10" i="58" s="1"/>
  <c r="U9" i="58"/>
  <c r="Y17" i="58" s="1"/>
  <c r="K9" i="58"/>
  <c r="N9" i="58" s="1"/>
  <c r="K8" i="58"/>
  <c r="N8" i="58" s="1"/>
  <c r="K101" i="57"/>
  <c r="N101" i="57" s="1"/>
  <c r="K100" i="57"/>
  <c r="N100" i="57" s="1"/>
  <c r="K99" i="57"/>
  <c r="N99" i="57" s="1"/>
  <c r="K98" i="57"/>
  <c r="N98" i="57" s="1"/>
  <c r="K97" i="57"/>
  <c r="N97" i="57" s="1"/>
  <c r="K96" i="57"/>
  <c r="N96" i="57" s="1"/>
  <c r="K95" i="57"/>
  <c r="N95" i="57" s="1"/>
  <c r="K94" i="57"/>
  <c r="N94" i="57" s="1"/>
  <c r="K93" i="57"/>
  <c r="N93" i="57" s="1"/>
  <c r="K92" i="57"/>
  <c r="N92" i="57" s="1"/>
  <c r="K91" i="57"/>
  <c r="N91" i="57" s="1"/>
  <c r="K90" i="57"/>
  <c r="N90" i="57" s="1"/>
  <c r="K89" i="57"/>
  <c r="N89" i="57" s="1"/>
  <c r="K88" i="57"/>
  <c r="N88" i="57" s="1"/>
  <c r="K87" i="57"/>
  <c r="N87" i="57" s="1"/>
  <c r="K86" i="57"/>
  <c r="N86" i="57" s="1"/>
  <c r="K85" i="57"/>
  <c r="N85" i="57" s="1"/>
  <c r="K84" i="57"/>
  <c r="N84" i="57" s="1"/>
  <c r="K83" i="57"/>
  <c r="N83" i="57" s="1"/>
  <c r="K82" i="57"/>
  <c r="N82" i="57" s="1"/>
  <c r="K81" i="57"/>
  <c r="N81" i="57" s="1"/>
  <c r="K80" i="57"/>
  <c r="N80" i="57" s="1"/>
  <c r="K79" i="57"/>
  <c r="N79" i="57" s="1"/>
  <c r="K78" i="57"/>
  <c r="N78" i="57" s="1"/>
  <c r="K77" i="57"/>
  <c r="N77" i="57" s="1"/>
  <c r="K76" i="57"/>
  <c r="N76" i="57" s="1"/>
  <c r="K75" i="57"/>
  <c r="N75" i="57" s="1"/>
  <c r="K74" i="57"/>
  <c r="N74" i="57" s="1"/>
  <c r="K73" i="57"/>
  <c r="N73" i="57" s="1"/>
  <c r="K72" i="57"/>
  <c r="N72" i="57" s="1"/>
  <c r="K71" i="57"/>
  <c r="N71" i="57" s="1"/>
  <c r="K70" i="57"/>
  <c r="N70" i="57" s="1"/>
  <c r="K69" i="57"/>
  <c r="N69" i="57" s="1"/>
  <c r="K68" i="57"/>
  <c r="N68" i="57" s="1"/>
  <c r="K67" i="57"/>
  <c r="N67" i="57" s="1"/>
  <c r="K66" i="57"/>
  <c r="N66" i="57" s="1"/>
  <c r="K65" i="57"/>
  <c r="N65" i="57" s="1"/>
  <c r="K64" i="57"/>
  <c r="N64" i="57" s="1"/>
  <c r="K63" i="57"/>
  <c r="N63" i="57" s="1"/>
  <c r="K62" i="57"/>
  <c r="N62" i="57" s="1"/>
  <c r="K61" i="57"/>
  <c r="N61" i="57" s="1"/>
  <c r="K60" i="57"/>
  <c r="N60" i="57" s="1"/>
  <c r="K59" i="57"/>
  <c r="N59" i="57" s="1"/>
  <c r="K58" i="57"/>
  <c r="N58" i="57" s="1"/>
  <c r="K57" i="57"/>
  <c r="N57" i="57" s="1"/>
  <c r="K56" i="57"/>
  <c r="N56" i="57" s="1"/>
  <c r="K55" i="57"/>
  <c r="N55" i="57" s="1"/>
  <c r="K54" i="57"/>
  <c r="N54" i="57" s="1"/>
  <c r="K53" i="57"/>
  <c r="N53" i="57" s="1"/>
  <c r="K52" i="57"/>
  <c r="N52" i="57" s="1"/>
  <c r="K51" i="57"/>
  <c r="N51" i="57" s="1"/>
  <c r="K50" i="57"/>
  <c r="N50" i="57" s="1"/>
  <c r="K49" i="57"/>
  <c r="N49" i="57" s="1"/>
  <c r="K48" i="57"/>
  <c r="N48" i="57" s="1"/>
  <c r="K47" i="57"/>
  <c r="N47" i="57" s="1"/>
  <c r="K46" i="57"/>
  <c r="N46" i="57" s="1"/>
  <c r="K45" i="57"/>
  <c r="N45" i="57" s="1"/>
  <c r="K44" i="57"/>
  <c r="N44" i="57" s="1"/>
  <c r="K43" i="57"/>
  <c r="N43" i="57" s="1"/>
  <c r="K42" i="57"/>
  <c r="N42" i="57" s="1"/>
  <c r="K41" i="57"/>
  <c r="N41" i="57" s="1"/>
  <c r="K40" i="57"/>
  <c r="N40" i="57" s="1"/>
  <c r="K39" i="57"/>
  <c r="N39" i="57" s="1"/>
  <c r="K38" i="57"/>
  <c r="N38" i="57" s="1"/>
  <c r="K37" i="57"/>
  <c r="N37" i="57" s="1"/>
  <c r="K36" i="57"/>
  <c r="N36" i="57" s="1"/>
  <c r="K35" i="57"/>
  <c r="N35" i="57" s="1"/>
  <c r="K34" i="57"/>
  <c r="N34" i="57" s="1"/>
  <c r="K33" i="57"/>
  <c r="N33" i="57" s="1"/>
  <c r="K32" i="57"/>
  <c r="N32" i="57" s="1"/>
  <c r="K31" i="57"/>
  <c r="N31" i="57" s="1"/>
  <c r="K30" i="57"/>
  <c r="N30" i="57" s="1"/>
  <c r="K29" i="57"/>
  <c r="N29" i="57" s="1"/>
  <c r="K28" i="57"/>
  <c r="N28" i="57" s="1"/>
  <c r="K27" i="57"/>
  <c r="N27" i="57" s="1"/>
  <c r="K26" i="57"/>
  <c r="N26" i="57" s="1"/>
  <c r="K25" i="57"/>
  <c r="N25" i="57" s="1"/>
  <c r="K24" i="57"/>
  <c r="N24" i="57" s="1"/>
  <c r="K23" i="57"/>
  <c r="N23" i="57" s="1"/>
  <c r="K22" i="57"/>
  <c r="N22" i="57" s="1"/>
  <c r="K21" i="57"/>
  <c r="N21" i="57" s="1"/>
  <c r="K20" i="57"/>
  <c r="N20" i="57" s="1"/>
  <c r="K19" i="57"/>
  <c r="N19" i="57" s="1"/>
  <c r="K18" i="57"/>
  <c r="N18" i="57" s="1"/>
  <c r="K17" i="57"/>
  <c r="N17" i="57" s="1"/>
  <c r="K16" i="57"/>
  <c r="N16" i="57" s="1"/>
  <c r="U15" i="57"/>
  <c r="Y10" i="57" s="1"/>
  <c r="K15" i="57"/>
  <c r="N15" i="57" s="1"/>
  <c r="U14" i="57"/>
  <c r="K14" i="57"/>
  <c r="N14" i="57" s="1"/>
  <c r="U13" i="57"/>
  <c r="K13" i="57"/>
  <c r="N13" i="57" s="1"/>
  <c r="K12" i="57"/>
  <c r="N12" i="57" s="1"/>
  <c r="K11" i="57"/>
  <c r="N11" i="57" s="1"/>
  <c r="U10" i="57"/>
  <c r="K10" i="57"/>
  <c r="N10" i="57" s="1"/>
  <c r="U9" i="57"/>
  <c r="Y17" i="57" s="1"/>
  <c r="K9" i="57"/>
  <c r="N9" i="57" s="1"/>
  <c r="K8" i="57"/>
  <c r="N8" i="57" s="1"/>
  <c r="K101" i="56"/>
  <c r="N101" i="56" s="1"/>
  <c r="K100" i="56"/>
  <c r="N100" i="56" s="1"/>
  <c r="K99" i="56"/>
  <c r="N99" i="56" s="1"/>
  <c r="K98" i="56"/>
  <c r="N98" i="56" s="1"/>
  <c r="K97" i="56"/>
  <c r="N97" i="56" s="1"/>
  <c r="K96" i="56"/>
  <c r="N96" i="56" s="1"/>
  <c r="K95" i="56"/>
  <c r="N95" i="56" s="1"/>
  <c r="K94" i="56"/>
  <c r="N94" i="56" s="1"/>
  <c r="K93" i="56"/>
  <c r="N93" i="56" s="1"/>
  <c r="K92" i="56"/>
  <c r="N92" i="56" s="1"/>
  <c r="K91" i="56"/>
  <c r="N91" i="56" s="1"/>
  <c r="K90" i="56"/>
  <c r="N90" i="56" s="1"/>
  <c r="K89" i="56"/>
  <c r="N89" i="56" s="1"/>
  <c r="K88" i="56"/>
  <c r="N88" i="56" s="1"/>
  <c r="K87" i="56"/>
  <c r="N87" i="56" s="1"/>
  <c r="K86" i="56"/>
  <c r="N86" i="56" s="1"/>
  <c r="K85" i="56"/>
  <c r="N85" i="56" s="1"/>
  <c r="K84" i="56"/>
  <c r="N84" i="56" s="1"/>
  <c r="K83" i="56"/>
  <c r="N83" i="56" s="1"/>
  <c r="K82" i="56"/>
  <c r="N82" i="56" s="1"/>
  <c r="K81" i="56"/>
  <c r="N81" i="56" s="1"/>
  <c r="K80" i="56"/>
  <c r="N80" i="56" s="1"/>
  <c r="K79" i="56"/>
  <c r="N79" i="56" s="1"/>
  <c r="K78" i="56"/>
  <c r="N78" i="56" s="1"/>
  <c r="K77" i="56"/>
  <c r="N77" i="56" s="1"/>
  <c r="K76" i="56"/>
  <c r="N76" i="56" s="1"/>
  <c r="K75" i="56"/>
  <c r="N75" i="56" s="1"/>
  <c r="K74" i="56"/>
  <c r="N74" i="56" s="1"/>
  <c r="K73" i="56"/>
  <c r="N73" i="56" s="1"/>
  <c r="K72" i="56"/>
  <c r="N72" i="56" s="1"/>
  <c r="K71" i="56"/>
  <c r="N71" i="56" s="1"/>
  <c r="K70" i="56"/>
  <c r="N70" i="56" s="1"/>
  <c r="K69" i="56"/>
  <c r="N69" i="56" s="1"/>
  <c r="K68" i="56"/>
  <c r="N68" i="56" s="1"/>
  <c r="K67" i="56"/>
  <c r="N67" i="56" s="1"/>
  <c r="K66" i="56"/>
  <c r="N66" i="56" s="1"/>
  <c r="K65" i="56"/>
  <c r="N65" i="56" s="1"/>
  <c r="K64" i="56"/>
  <c r="N64" i="56" s="1"/>
  <c r="K63" i="56"/>
  <c r="N63" i="56" s="1"/>
  <c r="K62" i="56"/>
  <c r="N62" i="56" s="1"/>
  <c r="K61" i="56"/>
  <c r="N61" i="56" s="1"/>
  <c r="K60" i="56"/>
  <c r="N60" i="56" s="1"/>
  <c r="K59" i="56"/>
  <c r="N59" i="56" s="1"/>
  <c r="K58" i="56"/>
  <c r="N58" i="56" s="1"/>
  <c r="K57" i="56"/>
  <c r="N57" i="56" s="1"/>
  <c r="K56" i="56"/>
  <c r="N56" i="56" s="1"/>
  <c r="K55" i="56"/>
  <c r="N55" i="56" s="1"/>
  <c r="K54" i="56"/>
  <c r="N54" i="56" s="1"/>
  <c r="K53" i="56"/>
  <c r="N53" i="56" s="1"/>
  <c r="K52" i="56"/>
  <c r="N52" i="56" s="1"/>
  <c r="K51" i="56"/>
  <c r="N51" i="56" s="1"/>
  <c r="K50" i="56"/>
  <c r="N50" i="56" s="1"/>
  <c r="K49" i="56"/>
  <c r="N49" i="56" s="1"/>
  <c r="K48" i="56"/>
  <c r="N48" i="56" s="1"/>
  <c r="K47" i="56"/>
  <c r="N47" i="56" s="1"/>
  <c r="K46" i="56"/>
  <c r="N46" i="56" s="1"/>
  <c r="K45" i="56"/>
  <c r="N45" i="56" s="1"/>
  <c r="K44" i="56"/>
  <c r="N44" i="56" s="1"/>
  <c r="K43" i="56"/>
  <c r="N43" i="56" s="1"/>
  <c r="K42" i="56"/>
  <c r="N42" i="56" s="1"/>
  <c r="K41" i="56"/>
  <c r="N41" i="56" s="1"/>
  <c r="K40" i="56"/>
  <c r="N40" i="56" s="1"/>
  <c r="K39" i="56"/>
  <c r="N39" i="56" s="1"/>
  <c r="K38" i="56"/>
  <c r="N38" i="56" s="1"/>
  <c r="K37" i="56"/>
  <c r="N37" i="56" s="1"/>
  <c r="K36" i="56"/>
  <c r="N36" i="56" s="1"/>
  <c r="K35" i="56"/>
  <c r="N35" i="56" s="1"/>
  <c r="K34" i="56"/>
  <c r="N34" i="56" s="1"/>
  <c r="K33" i="56"/>
  <c r="N33" i="56" s="1"/>
  <c r="K32" i="56"/>
  <c r="N32" i="56" s="1"/>
  <c r="K31" i="56"/>
  <c r="N31" i="56" s="1"/>
  <c r="K30" i="56"/>
  <c r="N30" i="56" s="1"/>
  <c r="K29" i="56"/>
  <c r="N29" i="56" s="1"/>
  <c r="K28" i="56"/>
  <c r="N28" i="56" s="1"/>
  <c r="K27" i="56"/>
  <c r="N27" i="56" s="1"/>
  <c r="K26" i="56"/>
  <c r="N26" i="56" s="1"/>
  <c r="K25" i="56"/>
  <c r="N25" i="56" s="1"/>
  <c r="K24" i="56"/>
  <c r="N24" i="56" s="1"/>
  <c r="K23" i="56"/>
  <c r="N23" i="56" s="1"/>
  <c r="K22" i="56"/>
  <c r="N22" i="56" s="1"/>
  <c r="K21" i="56"/>
  <c r="N21" i="56" s="1"/>
  <c r="K20" i="56"/>
  <c r="N20" i="56" s="1"/>
  <c r="K19" i="56"/>
  <c r="N19" i="56" s="1"/>
  <c r="K18" i="56"/>
  <c r="N18" i="56" s="1"/>
  <c r="K17" i="56"/>
  <c r="N17" i="56" s="1"/>
  <c r="K16" i="56"/>
  <c r="N16" i="56" s="1"/>
  <c r="K15" i="56"/>
  <c r="N15" i="56" s="1"/>
  <c r="U14" i="56"/>
  <c r="K14" i="56"/>
  <c r="N14" i="56" s="1"/>
  <c r="U13" i="56"/>
  <c r="K13" i="56"/>
  <c r="N13" i="56" s="1"/>
  <c r="K12" i="56"/>
  <c r="N12" i="56" s="1"/>
  <c r="K11" i="56"/>
  <c r="N11" i="56" s="1"/>
  <c r="U10" i="56"/>
  <c r="K10" i="56"/>
  <c r="N10" i="56" s="1"/>
  <c r="U9" i="56"/>
  <c r="Y17" i="56" s="1"/>
  <c r="K9" i="56"/>
  <c r="N9" i="56" s="1"/>
  <c r="K8" i="56"/>
  <c r="N8" i="56" s="1"/>
  <c r="AB9" i="56" s="1" a="1"/>
  <c r="AB9" i="56" s="1"/>
  <c r="K101" i="39"/>
  <c r="N101" i="39" s="1"/>
  <c r="K100" i="39"/>
  <c r="N100" i="39" s="1"/>
  <c r="K99" i="39"/>
  <c r="N99" i="39" s="1"/>
  <c r="K98" i="39"/>
  <c r="N98" i="39" s="1"/>
  <c r="K97" i="39"/>
  <c r="N97" i="39" s="1"/>
  <c r="K96" i="39"/>
  <c r="N96" i="39" s="1"/>
  <c r="K95" i="39"/>
  <c r="N95" i="39" s="1"/>
  <c r="K94" i="39"/>
  <c r="N94" i="39" s="1"/>
  <c r="K93" i="39"/>
  <c r="N93" i="39" s="1"/>
  <c r="K92" i="39"/>
  <c r="N92" i="39" s="1"/>
  <c r="K91" i="39"/>
  <c r="N91" i="39" s="1"/>
  <c r="K90" i="39"/>
  <c r="N90" i="39" s="1"/>
  <c r="K89" i="39"/>
  <c r="N89" i="39" s="1"/>
  <c r="K88" i="39"/>
  <c r="N88" i="39" s="1"/>
  <c r="K87" i="39"/>
  <c r="N87" i="39" s="1"/>
  <c r="K86" i="39"/>
  <c r="N86" i="39" s="1"/>
  <c r="K85" i="39"/>
  <c r="N85" i="39" s="1"/>
  <c r="K84" i="39"/>
  <c r="N84" i="39" s="1"/>
  <c r="K83" i="39"/>
  <c r="N83" i="39" s="1"/>
  <c r="K82" i="39"/>
  <c r="N82" i="39" s="1"/>
  <c r="K81" i="39"/>
  <c r="N81" i="39" s="1"/>
  <c r="K80" i="39"/>
  <c r="N80" i="39" s="1"/>
  <c r="K79" i="39"/>
  <c r="N79" i="39" s="1"/>
  <c r="K78" i="39"/>
  <c r="N78" i="39" s="1"/>
  <c r="K77" i="39"/>
  <c r="N77" i="39" s="1"/>
  <c r="K76" i="39"/>
  <c r="N76" i="39" s="1"/>
  <c r="K75" i="39"/>
  <c r="N75" i="39" s="1"/>
  <c r="K74" i="39"/>
  <c r="N74" i="39" s="1"/>
  <c r="K73" i="39"/>
  <c r="N73" i="39" s="1"/>
  <c r="K72" i="39"/>
  <c r="N72" i="39" s="1"/>
  <c r="K71" i="39"/>
  <c r="N71" i="39" s="1"/>
  <c r="K70" i="39"/>
  <c r="N70" i="39" s="1"/>
  <c r="K69" i="39"/>
  <c r="N69" i="39" s="1"/>
  <c r="K68" i="39"/>
  <c r="N68" i="39" s="1"/>
  <c r="K67" i="39"/>
  <c r="N67" i="39" s="1"/>
  <c r="K66" i="39"/>
  <c r="N66" i="39" s="1"/>
  <c r="K65" i="39"/>
  <c r="N65" i="39" s="1"/>
  <c r="K64" i="39"/>
  <c r="N64" i="39" s="1"/>
  <c r="K63" i="39"/>
  <c r="N63" i="39" s="1"/>
  <c r="K62" i="39"/>
  <c r="N62" i="39" s="1"/>
  <c r="K61" i="39"/>
  <c r="N61" i="39" s="1"/>
  <c r="K60" i="39"/>
  <c r="N60" i="39" s="1"/>
  <c r="K59" i="39"/>
  <c r="N59" i="39" s="1"/>
  <c r="K58" i="39"/>
  <c r="N58" i="39" s="1"/>
  <c r="K57" i="39"/>
  <c r="N57" i="39" s="1"/>
  <c r="K56" i="39"/>
  <c r="N56" i="39" s="1"/>
  <c r="K55" i="39"/>
  <c r="N55" i="39" s="1"/>
  <c r="K54" i="39"/>
  <c r="N54" i="39" s="1"/>
  <c r="K53" i="39"/>
  <c r="N53" i="39" s="1"/>
  <c r="K52" i="39"/>
  <c r="N52" i="39" s="1"/>
  <c r="K51" i="39"/>
  <c r="N51" i="39" s="1"/>
  <c r="K50" i="39"/>
  <c r="N50" i="39" s="1"/>
  <c r="K49" i="39"/>
  <c r="N49" i="39" s="1"/>
  <c r="K48" i="39"/>
  <c r="N48" i="39" s="1"/>
  <c r="K47" i="39"/>
  <c r="N47" i="39" s="1"/>
  <c r="K46" i="39"/>
  <c r="N46" i="39" s="1"/>
  <c r="K45" i="39"/>
  <c r="N45" i="39" s="1"/>
  <c r="K44" i="39"/>
  <c r="N44" i="39" s="1"/>
  <c r="K43" i="39"/>
  <c r="N43" i="39" s="1"/>
  <c r="K42" i="39"/>
  <c r="N42" i="39" s="1"/>
  <c r="K41" i="39"/>
  <c r="N41" i="39" s="1"/>
  <c r="K40" i="39"/>
  <c r="N40" i="39" s="1"/>
  <c r="K39" i="39"/>
  <c r="N39" i="39" s="1"/>
  <c r="K38" i="39"/>
  <c r="N38" i="39" s="1"/>
  <c r="K37" i="39"/>
  <c r="N37" i="39" s="1"/>
  <c r="K36" i="39"/>
  <c r="N36" i="39" s="1"/>
  <c r="K35" i="39"/>
  <c r="N35" i="39" s="1"/>
  <c r="K34" i="39"/>
  <c r="N34" i="39" s="1"/>
  <c r="K33" i="39"/>
  <c r="N33" i="39" s="1"/>
  <c r="K32" i="39"/>
  <c r="N32" i="39" s="1"/>
  <c r="K31" i="39"/>
  <c r="N31" i="39" s="1"/>
  <c r="K30" i="39"/>
  <c r="N30" i="39" s="1"/>
  <c r="K29" i="39"/>
  <c r="N29" i="39" s="1"/>
  <c r="K28" i="39"/>
  <c r="N28" i="39" s="1"/>
  <c r="K27" i="39"/>
  <c r="N27" i="39" s="1"/>
  <c r="K26" i="39"/>
  <c r="N26" i="39" s="1"/>
  <c r="K25" i="39"/>
  <c r="N25" i="39" s="1"/>
  <c r="K24" i="39"/>
  <c r="N24" i="39" s="1"/>
  <c r="K23" i="39"/>
  <c r="N23" i="39" s="1"/>
  <c r="K22" i="39"/>
  <c r="N22" i="39" s="1"/>
  <c r="K21" i="39"/>
  <c r="N21" i="39" s="1"/>
  <c r="K20" i="39"/>
  <c r="N20" i="39" s="1"/>
  <c r="K19" i="39"/>
  <c r="N19" i="39" s="1"/>
  <c r="K18" i="39"/>
  <c r="N18" i="39" s="1"/>
  <c r="K17" i="39"/>
  <c r="N17" i="39" s="1"/>
  <c r="K16" i="39"/>
  <c r="N16" i="39" s="1"/>
  <c r="K15" i="39"/>
  <c r="N15" i="39" s="1"/>
  <c r="K14" i="39"/>
  <c r="N14" i="39" s="1"/>
  <c r="K13" i="39"/>
  <c r="N13" i="39" s="1"/>
  <c r="K12" i="39"/>
  <c r="N12" i="39" s="1"/>
  <c r="K11" i="39"/>
  <c r="N11" i="39" s="1"/>
  <c r="U10" i="39"/>
  <c r="K10" i="39"/>
  <c r="N10" i="39" s="1"/>
  <c r="AB9" i="39" s="1" a="1"/>
  <c r="AB9" i="39" s="1"/>
  <c r="U9" i="39"/>
  <c r="Y17" i="39" s="1"/>
  <c r="K9" i="39"/>
  <c r="N9" i="39" s="1"/>
  <c r="K8" i="39"/>
  <c r="N8" i="39" s="1"/>
  <c r="N20" i="36"/>
  <c r="O20" i="36" s="1"/>
  <c r="P20" i="36" s="1"/>
  <c r="N23" i="36"/>
  <c r="O23" i="36" s="1"/>
  <c r="P23" i="36" s="1"/>
  <c r="N22" i="36"/>
  <c r="O22" i="36" s="1"/>
  <c r="P22" i="36" s="1"/>
  <c r="N21" i="36"/>
  <c r="O21" i="36" s="1"/>
  <c r="P21" i="36" s="1"/>
  <c r="U9" i="2"/>
  <c r="Y17" i="2" s="1"/>
  <c r="K8" i="2"/>
  <c r="N8" i="2" s="1"/>
  <c r="K9" i="2"/>
  <c r="N9" i="2" s="1"/>
  <c r="K10" i="2"/>
  <c r="N10" i="2" s="1"/>
  <c r="K11" i="2"/>
  <c r="N11" i="2" s="1"/>
  <c r="K12" i="2"/>
  <c r="N12" i="2" s="1"/>
  <c r="K13" i="2"/>
  <c r="N13" i="2" s="1"/>
  <c r="U14" i="2" s="1"/>
  <c r="K14" i="2"/>
  <c r="N14" i="2" s="1"/>
  <c r="K15" i="2"/>
  <c r="N15" i="2" s="1"/>
  <c r="K16" i="2"/>
  <c r="N16" i="2" s="1"/>
  <c r="K17" i="2"/>
  <c r="N17" i="2" s="1"/>
  <c r="K18" i="2"/>
  <c r="N18" i="2" s="1"/>
  <c r="K19" i="2"/>
  <c r="N19" i="2" s="1"/>
  <c r="K20" i="2"/>
  <c r="N20" i="2" s="1"/>
  <c r="K21" i="2"/>
  <c r="N21" i="2" s="1"/>
  <c r="K22" i="2"/>
  <c r="N22" i="2" s="1"/>
  <c r="K23" i="2"/>
  <c r="N23" i="2" s="1"/>
  <c r="K24" i="2"/>
  <c r="N24" i="2" s="1"/>
  <c r="K25" i="2"/>
  <c r="N25" i="2" s="1"/>
  <c r="K26" i="2"/>
  <c r="N26" i="2" s="1"/>
  <c r="K27" i="2"/>
  <c r="N27" i="2" s="1"/>
  <c r="K28" i="2"/>
  <c r="N28" i="2" s="1"/>
  <c r="K29" i="2"/>
  <c r="N29" i="2" s="1"/>
  <c r="K30" i="2"/>
  <c r="N30" i="2" s="1"/>
  <c r="K31" i="2"/>
  <c r="N31" i="2" s="1"/>
  <c r="K32" i="2"/>
  <c r="N32" i="2" s="1"/>
  <c r="K33" i="2"/>
  <c r="N33" i="2" s="1"/>
  <c r="K34" i="2"/>
  <c r="N34" i="2" s="1"/>
  <c r="K35" i="2"/>
  <c r="N35" i="2" s="1"/>
  <c r="K36" i="2"/>
  <c r="N36" i="2" s="1"/>
  <c r="K37" i="2"/>
  <c r="N37" i="2" s="1"/>
  <c r="K38" i="2"/>
  <c r="N38" i="2" s="1"/>
  <c r="K39" i="2"/>
  <c r="N39" i="2" s="1"/>
  <c r="K40" i="2"/>
  <c r="N40" i="2" s="1"/>
  <c r="K41" i="2"/>
  <c r="N41" i="2" s="1"/>
  <c r="K42" i="2"/>
  <c r="N42" i="2" s="1"/>
  <c r="K43" i="2"/>
  <c r="N43" i="2" s="1"/>
  <c r="K44" i="2"/>
  <c r="N44" i="2" s="1"/>
  <c r="K45" i="2"/>
  <c r="N45" i="2" s="1"/>
  <c r="K46" i="2"/>
  <c r="N46" i="2" s="1"/>
  <c r="K47" i="2"/>
  <c r="N47" i="2" s="1"/>
  <c r="K48" i="2"/>
  <c r="N48" i="2" s="1"/>
  <c r="K49" i="2"/>
  <c r="N49" i="2" s="1"/>
  <c r="K50" i="2"/>
  <c r="N50" i="2" s="1"/>
  <c r="K51" i="2"/>
  <c r="N51" i="2" s="1"/>
  <c r="K52" i="2"/>
  <c r="N52" i="2" s="1"/>
  <c r="K53" i="2"/>
  <c r="N53" i="2" s="1"/>
  <c r="K54" i="2"/>
  <c r="N54" i="2" s="1"/>
  <c r="K55" i="2"/>
  <c r="N55" i="2" s="1"/>
  <c r="K56" i="2"/>
  <c r="N56" i="2" s="1"/>
  <c r="K57" i="2"/>
  <c r="N57" i="2" s="1"/>
  <c r="K58" i="2"/>
  <c r="N58" i="2" s="1"/>
  <c r="K59" i="2"/>
  <c r="N59" i="2" s="1"/>
  <c r="K60" i="2"/>
  <c r="N60" i="2" s="1"/>
  <c r="K61" i="2"/>
  <c r="N61" i="2" s="1"/>
  <c r="K62" i="2"/>
  <c r="N62" i="2" s="1"/>
  <c r="K63" i="2"/>
  <c r="N63" i="2" s="1"/>
  <c r="K64" i="2"/>
  <c r="N64" i="2" s="1"/>
  <c r="K65" i="2"/>
  <c r="N65" i="2" s="1"/>
  <c r="K66" i="2"/>
  <c r="N66" i="2" s="1"/>
  <c r="K67" i="2"/>
  <c r="N67" i="2" s="1"/>
  <c r="K68" i="2"/>
  <c r="N68" i="2" s="1"/>
  <c r="K69" i="2"/>
  <c r="N69" i="2" s="1"/>
  <c r="K70" i="2"/>
  <c r="N70" i="2" s="1"/>
  <c r="K71" i="2"/>
  <c r="N71" i="2" s="1"/>
  <c r="K72" i="2"/>
  <c r="N72" i="2" s="1"/>
  <c r="K73" i="2"/>
  <c r="N73" i="2" s="1"/>
  <c r="K74" i="2"/>
  <c r="N74" i="2" s="1"/>
  <c r="K75" i="2"/>
  <c r="N75" i="2" s="1"/>
  <c r="K76" i="2"/>
  <c r="N76" i="2" s="1"/>
  <c r="K77" i="2"/>
  <c r="N77" i="2" s="1"/>
  <c r="K78" i="2"/>
  <c r="N78" i="2" s="1"/>
  <c r="K79" i="2"/>
  <c r="N79" i="2" s="1"/>
  <c r="K80" i="2"/>
  <c r="N80" i="2" s="1"/>
  <c r="K81" i="2"/>
  <c r="N81" i="2" s="1"/>
  <c r="K82" i="2"/>
  <c r="N82" i="2" s="1"/>
  <c r="K83" i="2"/>
  <c r="N83" i="2" s="1"/>
  <c r="K84" i="2"/>
  <c r="N84" i="2" s="1"/>
  <c r="K85" i="2"/>
  <c r="N85" i="2" s="1"/>
  <c r="K86" i="2"/>
  <c r="N86" i="2" s="1"/>
  <c r="K87" i="2"/>
  <c r="N87" i="2" s="1"/>
  <c r="K88" i="2"/>
  <c r="N88" i="2" s="1"/>
  <c r="K89" i="2"/>
  <c r="N89" i="2" s="1"/>
  <c r="K90" i="2"/>
  <c r="N90" i="2" s="1"/>
  <c r="K91" i="2"/>
  <c r="N91" i="2" s="1"/>
  <c r="K92" i="2"/>
  <c r="N92" i="2" s="1"/>
  <c r="K93" i="2"/>
  <c r="N93" i="2" s="1"/>
  <c r="K94" i="2"/>
  <c r="N94" i="2" s="1"/>
  <c r="K95" i="2"/>
  <c r="N95" i="2" s="1"/>
  <c r="K96" i="2"/>
  <c r="N96" i="2" s="1"/>
  <c r="K97" i="2"/>
  <c r="N97" i="2" s="1"/>
  <c r="K98" i="2"/>
  <c r="N98" i="2" s="1"/>
  <c r="K99" i="2"/>
  <c r="N99" i="2" s="1"/>
  <c r="K100" i="2"/>
  <c r="N100" i="2" s="1"/>
  <c r="K101" i="2"/>
  <c r="N101" i="2" s="1"/>
  <c r="U10" i="2"/>
  <c r="L73" i="36" l="1"/>
  <c r="M73" i="36" s="1"/>
  <c r="Q21" i="36" s="1"/>
  <c r="L66" i="36"/>
  <c r="AB9" i="61" a="1"/>
  <c r="AB9" i="61" s="1"/>
  <c r="Y21" i="69"/>
  <c r="Y21" i="78"/>
  <c r="Y21" i="66"/>
  <c r="Y21" i="75"/>
  <c r="Y21" i="83"/>
  <c r="Y21" i="70"/>
  <c r="Y21" i="65"/>
  <c r="Y21" i="74"/>
  <c r="Y21" i="82"/>
  <c r="Y21" i="57"/>
  <c r="U13" i="61"/>
  <c r="U15" i="61"/>
  <c r="Y10" i="61" s="1"/>
  <c r="U15" i="60"/>
  <c r="Y10" i="60" s="1"/>
  <c r="AB9" i="60" a="1"/>
  <c r="AB9" i="60" s="1"/>
  <c r="Y21" i="61"/>
  <c r="Y11" i="61"/>
  <c r="Y21" i="68"/>
  <c r="Y21" i="77"/>
  <c r="Y21" i="80"/>
  <c r="Y21" i="64"/>
  <c r="Y21" i="73"/>
  <c r="Y21" i="81"/>
  <c r="Y21" i="67"/>
  <c r="Y21" i="76"/>
  <c r="Y21" i="84"/>
  <c r="Y21" i="79"/>
  <c r="Y21" i="85"/>
  <c r="Y21" i="56"/>
  <c r="U15" i="56"/>
  <c r="Y10" i="56" s="1"/>
  <c r="Y21" i="60"/>
  <c r="Y21" i="62"/>
  <c r="U13" i="59"/>
  <c r="AB9" i="58" a="1"/>
  <c r="AB9" i="58" s="1"/>
  <c r="U11" i="59"/>
  <c r="AB9" i="59" a="1"/>
  <c r="AB9" i="59" s="1"/>
  <c r="Y21" i="59"/>
  <c r="U15" i="59"/>
  <c r="Y10" i="59" s="1"/>
  <c r="U13" i="58"/>
  <c r="Y21" i="2"/>
  <c r="Y21" i="58"/>
  <c r="D59" i="36"/>
  <c r="D41" i="36"/>
  <c r="D40" i="36"/>
  <c r="C38" i="36"/>
  <c r="C39" i="36"/>
  <c r="O58" i="36"/>
  <c r="L20" i="36"/>
  <c r="R20" i="36" s="1"/>
  <c r="L18" i="36"/>
  <c r="R18" i="36" s="1"/>
  <c r="L24" i="36"/>
  <c r="R24" i="36" s="1"/>
  <c r="L23" i="36"/>
  <c r="R23" i="36" s="1"/>
  <c r="L22" i="36"/>
  <c r="R22" i="36" s="1"/>
  <c r="L21" i="36"/>
  <c r="L17" i="36"/>
  <c r="R17" i="36" s="1"/>
  <c r="L19" i="36"/>
  <c r="R19" i="36" s="1"/>
  <c r="N24" i="36"/>
  <c r="O24" i="36" s="1"/>
  <c r="P24" i="36" s="1"/>
  <c r="N16" i="36"/>
  <c r="O16" i="36" s="1"/>
  <c r="P16" i="36" s="1"/>
  <c r="N18" i="36"/>
  <c r="O18" i="36" s="1"/>
  <c r="P18" i="36" s="1"/>
  <c r="N17" i="36"/>
  <c r="O17" i="36" s="1"/>
  <c r="P17" i="36" s="1"/>
  <c r="N19" i="36"/>
  <c r="O19" i="36" s="1"/>
  <c r="P19" i="36" s="1"/>
  <c r="Y21" i="39"/>
  <c r="L16" i="36"/>
  <c r="AC36" i="78"/>
  <c r="AC36" i="69"/>
  <c r="AC36" i="61"/>
  <c r="AC36" i="2"/>
  <c r="AC36" i="77"/>
  <c r="AC36" i="68"/>
  <c r="AC36" i="60"/>
  <c r="AC36" i="84"/>
  <c r="AC36" i="76"/>
  <c r="AC36" i="67"/>
  <c r="AC36" i="59"/>
  <c r="AC36" i="83"/>
  <c r="AC36" i="75"/>
  <c r="AC36" i="66"/>
  <c r="AC36" i="58"/>
  <c r="U15" i="39"/>
  <c r="Y10" i="39" s="1"/>
  <c r="AC36" i="82"/>
  <c r="AC36" i="74"/>
  <c r="AC36" i="65"/>
  <c r="AC36" i="57"/>
  <c r="AC36" i="81"/>
  <c r="AC36" i="73"/>
  <c r="AC36" i="64"/>
  <c r="AC36" i="56"/>
  <c r="U11" i="39"/>
  <c r="AC36" i="80"/>
  <c r="AC36" i="72"/>
  <c r="AC36" i="63"/>
  <c r="AC36" i="39"/>
  <c r="AC36" i="79"/>
  <c r="AC36" i="70"/>
  <c r="AC36" i="62"/>
  <c r="AC36" i="85"/>
  <c r="AC35" i="81"/>
  <c r="AC35" i="73"/>
  <c r="AC35" i="64"/>
  <c r="AC35" i="56"/>
  <c r="AC35" i="80"/>
  <c r="AC35" i="72"/>
  <c r="AC35" i="63"/>
  <c r="AC35" i="39"/>
  <c r="AC35" i="79"/>
  <c r="AC35" i="70"/>
  <c r="AC35" i="62"/>
  <c r="AC35" i="85"/>
  <c r="AC35" i="78"/>
  <c r="AC35" i="69"/>
  <c r="AC35" i="61"/>
  <c r="AC35" i="2"/>
  <c r="AC35" i="77"/>
  <c r="AC35" i="68"/>
  <c r="AC35" i="60"/>
  <c r="AC35" i="84"/>
  <c r="AC35" i="76"/>
  <c r="AC35" i="67"/>
  <c r="AC35" i="59"/>
  <c r="AC35" i="83"/>
  <c r="AC35" i="75"/>
  <c r="AC35" i="66"/>
  <c r="AC35" i="58"/>
  <c r="AC35" i="82"/>
  <c r="AC35" i="74"/>
  <c r="AC35" i="65"/>
  <c r="AC35" i="57"/>
  <c r="AC31" i="79"/>
  <c r="AC31" i="70"/>
  <c r="AC31" i="62"/>
  <c r="AC31" i="85"/>
  <c r="AC34" i="80"/>
  <c r="AC34" i="72"/>
  <c r="AC34" i="63"/>
  <c r="AC34" i="39"/>
  <c r="AC31" i="78"/>
  <c r="AC31" i="69"/>
  <c r="AC31" i="61"/>
  <c r="AC34" i="79"/>
  <c r="AC34" i="70"/>
  <c r="AC34" i="62"/>
  <c r="AC34" i="85"/>
  <c r="AC34" i="78"/>
  <c r="AC34" i="69"/>
  <c r="AC34" i="61"/>
  <c r="AC34" i="2"/>
  <c r="AC34" i="77"/>
  <c r="AC34" i="68"/>
  <c r="AC34" i="60"/>
  <c r="AC34" i="84"/>
  <c r="AC34" i="76"/>
  <c r="AC34" i="67"/>
  <c r="AC34" i="59"/>
  <c r="AC34" i="83"/>
  <c r="AC34" i="75"/>
  <c r="AC34" i="66"/>
  <c r="AC34" i="58"/>
  <c r="AC34" i="82"/>
  <c r="AC34" i="74"/>
  <c r="AC34" i="65"/>
  <c r="AC34" i="57"/>
  <c r="AC34" i="81"/>
  <c r="AC34" i="73"/>
  <c r="AC34" i="64"/>
  <c r="AC34" i="56"/>
  <c r="AC33" i="84"/>
  <c r="AC33" i="76"/>
  <c r="AC33" i="67"/>
  <c r="AC33" i="59"/>
  <c r="AC33" i="83"/>
  <c r="AC33" i="75"/>
  <c r="AC33" i="66"/>
  <c r="AC33" i="58"/>
  <c r="AC33" i="82"/>
  <c r="AC33" i="74"/>
  <c r="AC33" i="65"/>
  <c r="AC33" i="57"/>
  <c r="AC33" i="81"/>
  <c r="AC33" i="73"/>
  <c r="AC33" i="64"/>
  <c r="AC33" i="56"/>
  <c r="AC31" i="2"/>
  <c r="AC31" i="77"/>
  <c r="AC31" i="68"/>
  <c r="AC31" i="60"/>
  <c r="AC33" i="80"/>
  <c r="AC33" i="72"/>
  <c r="AC33" i="63"/>
  <c r="AC33" i="39"/>
  <c r="AC33" i="79"/>
  <c r="AC33" i="70"/>
  <c r="AC33" i="62"/>
  <c r="AC33" i="85"/>
  <c r="AC33" i="78"/>
  <c r="AC33" i="69"/>
  <c r="AC33" i="61"/>
  <c r="AC33" i="2"/>
  <c r="AC33" i="77"/>
  <c r="AC33" i="68"/>
  <c r="AC33" i="60"/>
  <c r="AC31" i="82"/>
  <c r="AC31" i="74"/>
  <c r="AC31" i="65"/>
  <c r="AC31" i="57"/>
  <c r="AC31" i="83"/>
  <c r="AC31" i="75"/>
  <c r="AC31" i="66"/>
  <c r="AC31" i="58"/>
  <c r="AC31" i="81"/>
  <c r="AC31" i="73"/>
  <c r="AC31" i="64"/>
  <c r="AC31" i="56"/>
  <c r="AC31" i="80"/>
  <c r="AC31" i="72"/>
  <c r="AC31" i="63"/>
  <c r="AC31" i="39"/>
  <c r="AC31" i="84"/>
  <c r="AC31" i="76"/>
  <c r="AC31" i="67"/>
  <c r="AC31" i="59"/>
  <c r="AB9" i="2" a="1"/>
  <c r="AB9" i="2" s="1"/>
  <c r="U14" i="39"/>
  <c r="AB9" i="85" a="1"/>
  <c r="AB9" i="85" s="1"/>
  <c r="U15" i="2"/>
  <c r="Y10" i="2" s="1"/>
  <c r="D36" i="36"/>
  <c r="R10" i="61"/>
  <c r="R12" i="61" s="1"/>
  <c r="R10" i="56"/>
  <c r="R12" i="56" s="1"/>
  <c r="R10" i="80"/>
  <c r="R12" i="80" s="1"/>
  <c r="Y11" i="2"/>
  <c r="Y11" i="77"/>
  <c r="Y11" i="68"/>
  <c r="Y11" i="60"/>
  <c r="Y11" i="84"/>
  <c r="Y11" i="76"/>
  <c r="Y11" i="67"/>
  <c r="Y11" i="59"/>
  <c r="Y11" i="83"/>
  <c r="Y11" i="75"/>
  <c r="Y11" i="66"/>
  <c r="Y11" i="58"/>
  <c r="Y11" i="82"/>
  <c r="Y11" i="74"/>
  <c r="Y11" i="65"/>
  <c r="Y11" i="57"/>
  <c r="Y11" i="81"/>
  <c r="Y11" i="73"/>
  <c r="Y11" i="64"/>
  <c r="Y11" i="56"/>
  <c r="Y11" i="80"/>
  <c r="Y11" i="72"/>
  <c r="Y11" i="63"/>
  <c r="Y11" i="39"/>
  <c r="Y11" i="79"/>
  <c r="Y11" i="70"/>
  <c r="Y11" i="62"/>
  <c r="Y11" i="85"/>
  <c r="Y11" i="78"/>
  <c r="Y11" i="69"/>
  <c r="B20" i="36"/>
  <c r="C27" i="36"/>
  <c r="C26" i="36"/>
  <c r="C28" i="36"/>
  <c r="C25" i="36"/>
  <c r="U13" i="85"/>
  <c r="U14" i="85"/>
  <c r="N8" i="69"/>
  <c r="N8" i="73"/>
  <c r="N8" i="64"/>
  <c r="N8" i="68"/>
  <c r="N8" i="75"/>
  <c r="N8" i="79"/>
  <c r="V26" i="85"/>
  <c r="W35" i="85" s="1"/>
  <c r="V25" i="85"/>
  <c r="W34" i="85" s="1"/>
  <c r="V19" i="85"/>
  <c r="V27" i="85"/>
  <c r="W36" i="85" s="1"/>
  <c r="V24" i="85"/>
  <c r="W33" i="85" s="1"/>
  <c r="V24" i="84"/>
  <c r="W33" i="84" s="1"/>
  <c r="V25" i="84"/>
  <c r="W34" i="84" s="1"/>
  <c r="V19" i="84"/>
  <c r="V27" i="84"/>
  <c r="W36" i="84" s="1"/>
  <c r="V24" i="83"/>
  <c r="W33" i="83" s="1"/>
  <c r="V26" i="84"/>
  <c r="W35" i="84" s="1"/>
  <c r="V26" i="83"/>
  <c r="W35" i="83" s="1"/>
  <c r="V25" i="83"/>
  <c r="W34" i="83" s="1"/>
  <c r="V19" i="83"/>
  <c r="V27" i="83"/>
  <c r="W36" i="83" s="1"/>
  <c r="V25" i="82"/>
  <c r="W34" i="82" s="1"/>
  <c r="V26" i="82"/>
  <c r="W35" i="82" s="1"/>
  <c r="V19" i="82"/>
  <c r="V27" i="82"/>
  <c r="W36" i="82" s="1"/>
  <c r="V24" i="82"/>
  <c r="W33" i="82" s="1"/>
  <c r="V25" i="81"/>
  <c r="W34" i="81" s="1"/>
  <c r="V26" i="81"/>
  <c r="W35" i="81" s="1"/>
  <c r="V19" i="81"/>
  <c r="V27" i="81"/>
  <c r="W36" i="81" s="1"/>
  <c r="V24" i="81"/>
  <c r="W33" i="81" s="1"/>
  <c r="V19" i="80"/>
  <c r="V25" i="80"/>
  <c r="W34" i="80" s="1"/>
  <c r="V26" i="80"/>
  <c r="W35" i="80" s="1"/>
  <c r="V19" i="79"/>
  <c r="V27" i="80"/>
  <c r="W36" i="80" s="1"/>
  <c r="V24" i="80"/>
  <c r="W33" i="80" s="1"/>
  <c r="V24" i="79"/>
  <c r="W33" i="79" s="1"/>
  <c r="V25" i="79"/>
  <c r="W34" i="79" s="1"/>
  <c r="V27" i="79"/>
  <c r="W36" i="79" s="1"/>
  <c r="V26" i="79"/>
  <c r="W35" i="79" s="1"/>
  <c r="V19" i="78"/>
  <c r="V25" i="78"/>
  <c r="W34" i="78" s="1"/>
  <c r="V27" i="78"/>
  <c r="W36" i="78" s="1"/>
  <c r="V24" i="78"/>
  <c r="W33" i="78" s="1"/>
  <c r="V26" i="78"/>
  <c r="W35" i="78" s="1"/>
  <c r="V26" i="77"/>
  <c r="W35" i="77" s="1"/>
  <c r="V25" i="77"/>
  <c r="W34" i="77" s="1"/>
  <c r="V19" i="77"/>
  <c r="V27" i="77"/>
  <c r="W36" i="77" s="1"/>
  <c r="V24" i="77"/>
  <c r="W33" i="77" s="1"/>
  <c r="V19" i="76"/>
  <c r="V25" i="76"/>
  <c r="W34" i="76" s="1"/>
  <c r="V27" i="76"/>
  <c r="W36" i="76" s="1"/>
  <c r="V24" i="76"/>
  <c r="W33" i="76" s="1"/>
  <c r="V26" i="76"/>
  <c r="W35" i="76" s="1"/>
  <c r="V25" i="75"/>
  <c r="W34" i="75" s="1"/>
  <c r="V19" i="75"/>
  <c r="V27" i="75"/>
  <c r="W36" i="75" s="1"/>
  <c r="V24" i="75"/>
  <c r="W33" i="75" s="1"/>
  <c r="V26" i="75"/>
  <c r="W35" i="75" s="1"/>
  <c r="V19" i="74"/>
  <c r="V25" i="74"/>
  <c r="W34" i="74" s="1"/>
  <c r="V26" i="74"/>
  <c r="W35" i="74" s="1"/>
  <c r="V26" i="72"/>
  <c r="W35" i="72" s="1"/>
  <c r="V27" i="74"/>
  <c r="W36" i="74" s="1"/>
  <c r="V24" i="74"/>
  <c r="W33" i="74" s="1"/>
  <c r="V19" i="73"/>
  <c r="V26" i="73"/>
  <c r="W35" i="73" s="1"/>
  <c r="V25" i="73"/>
  <c r="W34" i="73" s="1"/>
  <c r="V27" i="73"/>
  <c r="W36" i="73" s="1"/>
  <c r="V24" i="73"/>
  <c r="W33" i="73" s="1"/>
  <c r="V25" i="72"/>
  <c r="W34" i="72" s="1"/>
  <c r="V19" i="72"/>
  <c r="V27" i="72"/>
  <c r="W36" i="72" s="1"/>
  <c r="V24" i="72"/>
  <c r="W33" i="72" s="1"/>
  <c r="V19" i="70"/>
  <c r="V25" i="70"/>
  <c r="W34" i="70" s="1"/>
  <c r="V27" i="70"/>
  <c r="W36" i="70" s="1"/>
  <c r="V24" i="70"/>
  <c r="W33" i="70" s="1"/>
  <c r="V26" i="70"/>
  <c r="W35" i="70" s="1"/>
  <c r="V19" i="69"/>
  <c r="V25" i="69"/>
  <c r="W34" i="69" s="1"/>
  <c r="V27" i="69"/>
  <c r="W36" i="69" s="1"/>
  <c r="V24" i="69"/>
  <c r="W33" i="69" s="1"/>
  <c r="V26" i="69"/>
  <c r="W35" i="69" s="1"/>
  <c r="V19" i="68"/>
  <c r="V25" i="68"/>
  <c r="W34" i="68" s="1"/>
  <c r="V27" i="68"/>
  <c r="W36" i="68" s="1"/>
  <c r="V24" i="68"/>
  <c r="W33" i="68" s="1"/>
  <c r="V26" i="68"/>
  <c r="W35" i="68" s="1"/>
  <c r="V26" i="67"/>
  <c r="W35" i="67" s="1"/>
  <c r="V25" i="67"/>
  <c r="W34" i="67" s="1"/>
  <c r="V19" i="67"/>
  <c r="V24" i="67"/>
  <c r="W33" i="67" s="1"/>
  <c r="V27" i="67"/>
  <c r="W36" i="67" s="1"/>
  <c r="V27" i="66"/>
  <c r="W36" i="66" s="1"/>
  <c r="V25" i="66"/>
  <c r="W34" i="66" s="1"/>
  <c r="V19" i="66"/>
  <c r="V26" i="66"/>
  <c r="W35" i="66" s="1"/>
  <c r="V24" i="66"/>
  <c r="W33" i="66" s="1"/>
  <c r="V19" i="65"/>
  <c r="V26" i="65"/>
  <c r="W35" i="65" s="1"/>
  <c r="V25" i="65"/>
  <c r="W34" i="65" s="1"/>
  <c r="V27" i="65"/>
  <c r="W36" i="65" s="1"/>
  <c r="V24" i="65"/>
  <c r="W33" i="65" s="1"/>
  <c r="V19" i="64"/>
  <c r="V25" i="64"/>
  <c r="W34" i="64" s="1"/>
  <c r="V27" i="64"/>
  <c r="W36" i="64" s="1"/>
  <c r="V24" i="64"/>
  <c r="W33" i="64" s="1"/>
  <c r="V26" i="64"/>
  <c r="W35" i="64" s="1"/>
  <c r="V19" i="63"/>
  <c r="V25" i="63"/>
  <c r="W34" i="63" s="1"/>
  <c r="V27" i="63"/>
  <c r="W36" i="63" s="1"/>
  <c r="V24" i="63"/>
  <c r="W33" i="63" s="1"/>
  <c r="V26" i="63"/>
  <c r="W35" i="63" s="1"/>
  <c r="V19" i="62"/>
  <c r="V25" i="62"/>
  <c r="W34" i="62" s="1"/>
  <c r="V25" i="61"/>
  <c r="W34" i="61" s="1"/>
  <c r="V27" i="62"/>
  <c r="W36" i="62" s="1"/>
  <c r="V24" i="62"/>
  <c r="W33" i="62" s="1"/>
  <c r="V26" i="62"/>
  <c r="W35" i="62" s="1"/>
  <c r="V26" i="61"/>
  <c r="W35" i="61" s="1"/>
  <c r="V19" i="61"/>
  <c r="V27" i="61"/>
  <c r="W36" i="61" s="1"/>
  <c r="V24" i="61"/>
  <c r="W33" i="61" s="1"/>
  <c r="V19" i="60"/>
  <c r="V25" i="60"/>
  <c r="W34" i="60" s="1"/>
  <c r="V27" i="60"/>
  <c r="W36" i="60" s="1"/>
  <c r="V24" i="60"/>
  <c r="W33" i="60" s="1"/>
  <c r="V19" i="59"/>
  <c r="V26" i="60"/>
  <c r="W35" i="60" s="1"/>
  <c r="V24" i="59"/>
  <c r="W33" i="59" s="1"/>
  <c r="V26" i="58"/>
  <c r="W35" i="58" s="1"/>
  <c r="V25" i="59"/>
  <c r="W34" i="59" s="1"/>
  <c r="V27" i="59"/>
  <c r="W36" i="59" s="1"/>
  <c r="V26" i="59"/>
  <c r="W35" i="59" s="1"/>
  <c r="V19" i="58"/>
  <c r="V25" i="58"/>
  <c r="W34" i="58" s="1"/>
  <c r="V27" i="58"/>
  <c r="W36" i="58" s="1"/>
  <c r="V24" i="58"/>
  <c r="W33" i="58" s="1"/>
  <c r="V19" i="57"/>
  <c r="V25" i="57"/>
  <c r="W34" i="57" s="1"/>
  <c r="V27" i="57"/>
  <c r="W36" i="57" s="1"/>
  <c r="V24" i="57"/>
  <c r="W33" i="57" s="1"/>
  <c r="V26" i="57"/>
  <c r="W35" i="57" s="1"/>
  <c r="V26" i="56"/>
  <c r="W35" i="56" s="1"/>
  <c r="V19" i="56"/>
  <c r="V25" i="56"/>
  <c r="W34" i="56" s="1"/>
  <c r="V27" i="56"/>
  <c r="W36" i="56" s="1"/>
  <c r="V24" i="56"/>
  <c r="W33" i="56" s="1"/>
  <c r="V24" i="39"/>
  <c r="W33" i="39" s="1"/>
  <c r="V19" i="39"/>
  <c r="U13" i="39"/>
  <c r="V25" i="39"/>
  <c r="W34" i="39" s="1"/>
  <c r="V27" i="39"/>
  <c r="W36" i="39" s="1"/>
  <c r="V26" i="39"/>
  <c r="W35" i="39" s="1"/>
  <c r="V19" i="2"/>
  <c r="U13" i="2"/>
  <c r="V27" i="2"/>
  <c r="W36" i="2" s="1"/>
  <c r="Y36" i="2" s="1"/>
  <c r="V24" i="2"/>
  <c r="V26" i="2"/>
  <c r="W35" i="2" s="1"/>
  <c r="Y35" i="2" s="1"/>
  <c r="V25" i="2"/>
  <c r="W34" i="2" s="1"/>
  <c r="Y34" i="2" s="1"/>
  <c r="E38" i="36" l="1"/>
  <c r="O66" i="36"/>
  <c r="C36" i="36"/>
  <c r="D39" i="36"/>
  <c r="D38" i="36"/>
  <c r="R21" i="36"/>
  <c r="T17" i="36"/>
  <c r="R16" i="36"/>
  <c r="T16" i="36"/>
  <c r="AC44" i="84"/>
  <c r="AC43" i="84"/>
  <c r="AC39" i="84"/>
  <c r="AC41" i="84"/>
  <c r="AC42" i="84"/>
  <c r="AC32" i="79"/>
  <c r="AC32" i="77"/>
  <c r="AC32" i="85"/>
  <c r="AC32" i="63"/>
  <c r="AC32" i="72"/>
  <c r="AC32" i="73"/>
  <c r="AC32" i="75"/>
  <c r="AC32" i="80"/>
  <c r="AC32" i="81"/>
  <c r="AC32" i="61"/>
  <c r="AC32" i="64"/>
  <c r="AC32" i="66"/>
  <c r="AC32" i="82"/>
  <c r="AC32" i="84"/>
  <c r="AC32" i="2"/>
  <c r="AC32" i="39"/>
  <c r="AC32" i="56"/>
  <c r="AC32" i="58"/>
  <c r="AC32" i="68"/>
  <c r="AC32" i="70"/>
  <c r="AC32" i="74"/>
  <c r="AC32" i="76"/>
  <c r="AC32" i="78"/>
  <c r="AC32" i="83"/>
  <c r="AC32" i="69"/>
  <c r="AC32" i="57"/>
  <c r="AC32" i="59"/>
  <c r="AC32" i="60"/>
  <c r="AC32" i="62"/>
  <c r="AC32" i="65"/>
  <c r="AC32" i="67"/>
  <c r="S36" i="85"/>
  <c r="Y36" i="85" s="1"/>
  <c r="S34" i="85"/>
  <c r="Y34" i="85" s="1"/>
  <c r="S35" i="85"/>
  <c r="Y35" i="85" s="1"/>
  <c r="W33" i="2"/>
  <c r="H20" i="36"/>
  <c r="Y12" i="2"/>
  <c r="Y9" i="85" s="1"/>
  <c r="Y12" i="85" s="1"/>
  <c r="Y9" i="39" s="1"/>
  <c r="Y12" i="39" s="1"/>
  <c r="Y9" i="56" s="1"/>
  <c r="Y12" i="56" s="1"/>
  <c r="Y9" i="57" s="1"/>
  <c r="Y12" i="57" s="1"/>
  <c r="Y9" i="58" s="1"/>
  <c r="Y12" i="58" s="1"/>
  <c r="Y9" i="59" s="1"/>
  <c r="Y12" i="59" s="1"/>
  <c r="Y9" i="60" s="1"/>
  <c r="Y12" i="60" s="1"/>
  <c r="Y9" i="61" s="1"/>
  <c r="Y12" i="61" s="1"/>
  <c r="Y9" i="62" s="1"/>
  <c r="Y12" i="62" s="1"/>
  <c r="Y9" i="63" s="1"/>
  <c r="Y12" i="63" s="1"/>
  <c r="Y9" i="64" s="1"/>
  <c r="Y12" i="64" s="1"/>
  <c r="Y9" i="65" s="1"/>
  <c r="Y12" i="65" s="1"/>
  <c r="Y9" i="66" s="1"/>
  <c r="Y12" i="66" s="1"/>
  <c r="Y9" i="67" s="1"/>
  <c r="Y12" i="67" s="1"/>
  <c r="Y9" i="68" s="1"/>
  <c r="Y12" i="68" s="1"/>
  <c r="Y9" i="69" s="1"/>
  <c r="Y12" i="69" s="1"/>
  <c r="Y9" i="70" s="1"/>
  <c r="Y12" i="70" s="1"/>
  <c r="Y9" i="72" s="1"/>
  <c r="Y12" i="72" s="1"/>
  <c r="Y9" i="73" s="1"/>
  <c r="Y12" i="73" s="1"/>
  <c r="Y9" i="74" s="1"/>
  <c r="Y12" i="74" s="1"/>
  <c r="Y9" i="75" s="1"/>
  <c r="Y12" i="75" s="1"/>
  <c r="Y9" i="76" s="1"/>
  <c r="Y12" i="76" s="1"/>
  <c r="Y9" i="77" s="1"/>
  <c r="Y12" i="77" s="1"/>
  <c r="Y9" i="78" s="1"/>
  <c r="Y12" i="78" s="1"/>
  <c r="Y9" i="79" s="1"/>
  <c r="Y12" i="79" s="1"/>
  <c r="Y9" i="80" s="1"/>
  <c r="Y12" i="80" s="1"/>
  <c r="Y9" i="81" s="1"/>
  <c r="Y12" i="81" s="1"/>
  <c r="Y9" i="82" s="1"/>
  <c r="Y12" i="82" s="1"/>
  <c r="Y9" i="83" s="1"/>
  <c r="Y12" i="83" s="1"/>
  <c r="Y9" i="84" s="1"/>
  <c r="Y12" i="84" s="1"/>
  <c r="H21" i="36" s="1"/>
  <c r="R10" i="62"/>
  <c r="R12" i="62" s="1"/>
  <c r="R10" i="70"/>
  <c r="R12" i="70" s="1"/>
  <c r="R10" i="69"/>
  <c r="R12" i="69" s="1"/>
  <c r="R10" i="59"/>
  <c r="R12" i="59" s="1"/>
  <c r="R10" i="60"/>
  <c r="R12" i="60" s="1"/>
  <c r="R10" i="78"/>
  <c r="R12" i="78" s="1"/>
  <c r="R10" i="79"/>
  <c r="R12" i="79" s="1"/>
  <c r="R10" i="77"/>
  <c r="R12" i="77" s="1"/>
  <c r="R10" i="75"/>
  <c r="R12" i="75" s="1"/>
  <c r="R10" i="65"/>
  <c r="R12" i="65" s="1"/>
  <c r="R10" i="67"/>
  <c r="R12" i="67" s="1"/>
  <c r="H19" i="36"/>
  <c r="R10" i="85"/>
  <c r="R12" i="85" s="1"/>
  <c r="R10" i="39"/>
  <c r="R12" i="39" s="1"/>
  <c r="R10" i="74"/>
  <c r="R12" i="74" s="1"/>
  <c r="R10" i="66"/>
  <c r="R12" i="66" s="1"/>
  <c r="R10" i="76"/>
  <c r="R12" i="76" s="1"/>
  <c r="R12" i="58"/>
  <c r="R10" i="73"/>
  <c r="R12" i="73" s="1"/>
  <c r="R10" i="57"/>
  <c r="R12" i="57" s="1"/>
  <c r="R10" i="63"/>
  <c r="R12" i="63" s="1"/>
  <c r="R10" i="81"/>
  <c r="R12" i="81" s="1"/>
  <c r="R10" i="82"/>
  <c r="R12" i="82" s="1"/>
  <c r="R10" i="83"/>
  <c r="R12" i="83" s="1"/>
  <c r="R10" i="84"/>
  <c r="R12" i="84" s="1"/>
  <c r="R10" i="68"/>
  <c r="R12" i="68" s="1"/>
  <c r="R10" i="72"/>
  <c r="R12" i="72" s="1"/>
  <c r="R10" i="2"/>
  <c r="R12" i="2" s="1"/>
  <c r="R10" i="64"/>
  <c r="R12" i="64" s="1"/>
  <c r="B21" i="36"/>
  <c r="C31" i="36"/>
  <c r="E31" i="36" s="1"/>
  <c r="C30" i="36"/>
  <c r="E30" i="36" s="1"/>
  <c r="E26" i="36"/>
  <c r="E25" i="36"/>
  <c r="E27" i="36"/>
  <c r="E28" i="36"/>
  <c r="C33" i="36"/>
  <c r="E33" i="36" s="1"/>
  <c r="C32" i="36"/>
  <c r="E32" i="36" s="1"/>
  <c r="F38" i="36" l="1"/>
  <c r="Y33" i="2"/>
  <c r="S33" i="85" s="1"/>
  <c r="Y33" i="85" s="1"/>
  <c r="D58" i="36"/>
  <c r="D57" i="36"/>
  <c r="AC40" i="84"/>
  <c r="Z35" i="85"/>
  <c r="S35" i="39"/>
  <c r="Y35" i="39" s="1"/>
  <c r="Z34" i="85"/>
  <c r="S34" i="39"/>
  <c r="Y34" i="39" s="1"/>
  <c r="Z36" i="85"/>
  <c r="S36" i="39"/>
  <c r="Y36" i="39" s="1"/>
  <c r="A17" i="36"/>
  <c r="C18" i="36" s="1"/>
  <c r="A7" i="36" s="1"/>
  <c r="E36" i="36"/>
  <c r="F25" i="36"/>
  <c r="F30" i="36"/>
  <c r="G26" i="36" l="1"/>
  <c r="D7" i="36" s="1"/>
  <c r="Z35" i="39"/>
  <c r="Z34" i="39"/>
  <c r="S34" i="56"/>
  <c r="S36" i="56"/>
  <c r="Y36" i="56" s="1"/>
  <c r="E57" i="36"/>
  <c r="F54" i="36" s="1"/>
  <c r="G47" i="36" s="1"/>
  <c r="G7" i="36" s="1"/>
  <c r="S35" i="56"/>
  <c r="Z36" i="39"/>
  <c r="Y35" i="56" l="1"/>
  <c r="S35" i="57" s="1"/>
  <c r="Y35" i="57" s="1"/>
  <c r="S35" i="58" s="1"/>
  <c r="Y35" i="58" s="1"/>
  <c r="Y34" i="56"/>
  <c r="S34" i="57" s="1"/>
  <c r="Z36" i="56"/>
  <c r="S36" i="57"/>
  <c r="J7" i="36"/>
  <c r="M7" i="36" s="1"/>
  <c r="O7" i="36" s="1"/>
  <c r="Z34" i="56"/>
  <c r="Z35" i="56"/>
  <c r="C42" i="36"/>
  <c r="G42" i="36" s="1"/>
  <c r="Z33" i="85"/>
  <c r="S33" i="39"/>
  <c r="Y33" i="39" s="1"/>
  <c r="Z36" i="57" l="1"/>
  <c r="Y36" i="57"/>
  <c r="S36" i="58" s="1"/>
  <c r="Z35" i="57"/>
  <c r="Y34" i="57"/>
  <c r="S34" i="58" s="1"/>
  <c r="Y34" i="58" s="1"/>
  <c r="S34" i="59" s="1"/>
  <c r="Y34" i="59" s="1"/>
  <c r="Z34" i="57"/>
  <c r="S33" i="56"/>
  <c r="Y33" i="56" s="1"/>
  <c r="Z35" i="58"/>
  <c r="S35" i="59"/>
  <c r="Y35" i="59" s="1"/>
  <c r="Z33" i="39"/>
  <c r="Z34" i="58" l="1"/>
  <c r="Z36" i="58"/>
  <c r="Y36" i="58"/>
  <c r="S36" i="59" s="1"/>
  <c r="S33" i="57"/>
  <c r="Y33" i="57" s="1"/>
  <c r="Z33" i="56"/>
  <c r="Z35" i="59"/>
  <c r="S35" i="60"/>
  <c r="Y35" i="60" s="1"/>
  <c r="Z34" i="59"/>
  <c r="S34" i="60"/>
  <c r="Y34" i="60" s="1"/>
  <c r="Z36" i="59" l="1"/>
  <c r="Y36" i="59"/>
  <c r="S36" i="60" s="1"/>
  <c r="S33" i="58"/>
  <c r="Y33" i="58" s="1"/>
  <c r="Z33" i="57"/>
  <c r="Z34" i="60"/>
  <c r="S34" i="61"/>
  <c r="Y34" i="61" s="1"/>
  <c r="Z35" i="60"/>
  <c r="S35" i="61"/>
  <c r="Y35" i="61" s="1"/>
  <c r="Z36" i="60" l="1"/>
  <c r="Y36" i="60"/>
  <c r="S36" i="61" s="1"/>
  <c r="Z33" i="58"/>
  <c r="S33" i="59"/>
  <c r="Y33" i="59" s="1"/>
  <c r="Z34" i="61"/>
  <c r="S34" i="62"/>
  <c r="Y34" i="62" s="1"/>
  <c r="Z35" i="61"/>
  <c r="S35" i="62"/>
  <c r="Y35" i="62" s="1"/>
  <c r="Z36" i="61" l="1"/>
  <c r="Y36" i="61"/>
  <c r="S36" i="62" s="1"/>
  <c r="Z33" i="59"/>
  <c r="S33" i="60"/>
  <c r="Y33" i="60" s="1"/>
  <c r="Z34" i="62"/>
  <c r="S34" i="63"/>
  <c r="Y34" i="63" s="1"/>
  <c r="Z35" i="62"/>
  <c r="S35" i="63"/>
  <c r="Y35" i="63" s="1"/>
  <c r="Z36" i="62" l="1"/>
  <c r="Y36" i="62"/>
  <c r="S36" i="63" s="1"/>
  <c r="S33" i="61"/>
  <c r="Y33" i="61" s="1"/>
  <c r="Z33" i="60"/>
  <c r="Z35" i="63"/>
  <c r="S35" i="64"/>
  <c r="Y35" i="64" s="1"/>
  <c r="Z34" i="63"/>
  <c r="S34" i="64"/>
  <c r="Y34" i="64" s="1"/>
  <c r="Z36" i="63" l="1"/>
  <c r="Y36" i="63"/>
  <c r="S36" i="64" s="1"/>
  <c r="Y36" i="64" s="1"/>
  <c r="S36" i="65" s="1"/>
  <c r="Y36" i="65" s="1"/>
  <c r="Z33" i="61"/>
  <c r="S33" i="62"/>
  <c r="Y33" i="62" s="1"/>
  <c r="Z34" i="64"/>
  <c r="S34" i="65"/>
  <c r="Y34" i="65" s="1"/>
  <c r="Z35" i="64"/>
  <c r="S35" i="65"/>
  <c r="Y35" i="65" s="1"/>
  <c r="Z36" i="64" l="1"/>
  <c r="S33" i="63"/>
  <c r="Y33" i="63" s="1"/>
  <c r="Z33" i="62"/>
  <c r="Z35" i="65"/>
  <c r="S35" i="66"/>
  <c r="Y35" i="66" s="1"/>
  <c r="Z36" i="65"/>
  <c r="S36" i="66"/>
  <c r="Y36" i="66" s="1"/>
  <c r="Z34" i="65"/>
  <c r="S34" i="66"/>
  <c r="Y34" i="66" s="1"/>
  <c r="S33" i="64" l="1"/>
  <c r="Y33" i="64" s="1"/>
  <c r="Z33" i="63"/>
  <c r="Z36" i="66"/>
  <c r="S36" i="67"/>
  <c r="Y36" i="67" s="1"/>
  <c r="Z35" i="66"/>
  <c r="S35" i="67"/>
  <c r="Y35" i="67" s="1"/>
  <c r="Z34" i="66"/>
  <c r="S34" i="67"/>
  <c r="Y34" i="67" s="1"/>
  <c r="Z33" i="64" l="1"/>
  <c r="S33" i="65"/>
  <c r="Y33" i="65" s="1"/>
  <c r="Z34" i="67"/>
  <c r="S34" i="68"/>
  <c r="Y34" i="68" s="1"/>
  <c r="Z36" i="67"/>
  <c r="S36" i="68"/>
  <c r="Y36" i="68" s="1"/>
  <c r="Z35" i="67"/>
  <c r="S35" i="68"/>
  <c r="Y35" i="68" s="1"/>
  <c r="Z33" i="65" l="1"/>
  <c r="S33" i="66"/>
  <c r="Y33" i="66" s="1"/>
  <c r="Z36" i="68"/>
  <c r="S36" i="69"/>
  <c r="Y36" i="69" s="1"/>
  <c r="Z34" i="68"/>
  <c r="S34" i="69"/>
  <c r="Y34" i="69" s="1"/>
  <c r="Z35" i="68"/>
  <c r="S35" i="69"/>
  <c r="Y35" i="69" s="1"/>
  <c r="Z33" i="66" l="1"/>
  <c r="S33" i="67"/>
  <c r="Y33" i="67" s="1"/>
  <c r="Z34" i="69"/>
  <c r="S34" i="70"/>
  <c r="Y34" i="70" s="1"/>
  <c r="Z36" i="69"/>
  <c r="S36" i="70"/>
  <c r="Y36" i="70" s="1"/>
  <c r="Z35" i="69"/>
  <c r="S35" i="70"/>
  <c r="Y35" i="70" s="1"/>
  <c r="Z33" i="67" l="1"/>
  <c r="S33" i="68"/>
  <c r="Y33" i="68" s="1"/>
  <c r="Z36" i="70"/>
  <c r="S36" i="72"/>
  <c r="Y36" i="72" s="1"/>
  <c r="Z34" i="70"/>
  <c r="S34" i="72"/>
  <c r="Y34" i="72" s="1"/>
  <c r="Z35" i="70"/>
  <c r="S35" i="72"/>
  <c r="Y35" i="72" s="1"/>
  <c r="S33" i="69" l="1"/>
  <c r="Y33" i="69" s="1"/>
  <c r="Z33" i="68"/>
  <c r="Z35" i="72"/>
  <c r="S35" i="73"/>
  <c r="Y35" i="73" s="1"/>
  <c r="Z34" i="72"/>
  <c r="S34" i="73"/>
  <c r="Y34" i="73" s="1"/>
  <c r="Z36" i="72"/>
  <c r="S36" i="73"/>
  <c r="Y36" i="73" s="1"/>
  <c r="Z33" i="69" l="1"/>
  <c r="S33" i="70"/>
  <c r="Y33" i="70" s="1"/>
  <c r="Z36" i="73"/>
  <c r="S36" i="74"/>
  <c r="Y36" i="74" s="1"/>
  <c r="Z34" i="73"/>
  <c r="S34" i="74"/>
  <c r="Y34" i="74" s="1"/>
  <c r="Z35" i="73"/>
  <c r="S35" i="74"/>
  <c r="Y35" i="74" s="1"/>
  <c r="S33" i="72" l="1"/>
  <c r="Y33" i="72" s="1"/>
  <c r="Z33" i="70"/>
  <c r="Z34" i="74"/>
  <c r="S34" i="75"/>
  <c r="Y34" i="75" s="1"/>
  <c r="Z35" i="74"/>
  <c r="S35" i="75"/>
  <c r="Y35" i="75" s="1"/>
  <c r="Z36" i="74"/>
  <c r="S36" i="75"/>
  <c r="Y36" i="75" s="1"/>
  <c r="S33" i="73" l="1"/>
  <c r="Y33" i="73" s="1"/>
  <c r="Z33" i="72"/>
  <c r="Z36" i="75"/>
  <c r="S36" i="76"/>
  <c r="Y36" i="76" s="1"/>
  <c r="Z35" i="75"/>
  <c r="S35" i="76"/>
  <c r="Y35" i="76" s="1"/>
  <c r="Z34" i="75"/>
  <c r="S34" i="76"/>
  <c r="Y34" i="76" s="1"/>
  <c r="S33" i="74" l="1"/>
  <c r="Y33" i="74" s="1"/>
  <c r="Z33" i="73"/>
  <c r="Z35" i="76"/>
  <c r="S35" i="77"/>
  <c r="Y35" i="77" s="1"/>
  <c r="Z36" i="76"/>
  <c r="S36" i="77"/>
  <c r="Y36" i="77" s="1"/>
  <c r="Z34" i="76"/>
  <c r="S34" i="77"/>
  <c r="Y34" i="77" s="1"/>
  <c r="S33" i="75" l="1"/>
  <c r="Y33" i="75" s="1"/>
  <c r="Z33" i="74"/>
  <c r="Z34" i="77"/>
  <c r="S34" i="78"/>
  <c r="Y34" i="78" s="1"/>
  <c r="Z36" i="77"/>
  <c r="S36" i="78"/>
  <c r="Y36" i="78" s="1"/>
  <c r="Z35" i="77"/>
  <c r="S35" i="78"/>
  <c r="Y35" i="78" s="1"/>
  <c r="S33" i="76" l="1"/>
  <c r="Y33" i="76" s="1"/>
  <c r="Z33" i="75"/>
  <c r="Z36" i="78"/>
  <c r="S36" i="79"/>
  <c r="Y36" i="79" s="1"/>
  <c r="Z34" i="78"/>
  <c r="S34" i="79"/>
  <c r="Y34" i="79" s="1"/>
  <c r="Z35" i="78"/>
  <c r="S35" i="79"/>
  <c r="Y35" i="79" s="1"/>
  <c r="Z33" i="76" l="1"/>
  <c r="S33" i="77"/>
  <c r="Y33" i="77" s="1"/>
  <c r="Z35" i="79"/>
  <c r="S35" i="80"/>
  <c r="Y35" i="80" s="1"/>
  <c r="Z34" i="79"/>
  <c r="S34" i="80"/>
  <c r="Y34" i="80" s="1"/>
  <c r="Z36" i="79"/>
  <c r="S36" i="80"/>
  <c r="Y36" i="80" s="1"/>
  <c r="S33" i="78" l="1"/>
  <c r="Y33" i="78" s="1"/>
  <c r="Z33" i="77"/>
  <c r="Z34" i="80"/>
  <c r="S34" i="81"/>
  <c r="Y34" i="81" s="1"/>
  <c r="Z36" i="80"/>
  <c r="S36" i="81"/>
  <c r="Y36" i="81" s="1"/>
  <c r="Z35" i="80"/>
  <c r="S35" i="81"/>
  <c r="Y35" i="81" s="1"/>
  <c r="S33" i="79" l="1"/>
  <c r="Y33" i="79" s="1"/>
  <c r="Z33" i="78"/>
  <c r="Z35" i="81"/>
  <c r="S35" i="82"/>
  <c r="Y35" i="82" s="1"/>
  <c r="Z34" i="81"/>
  <c r="S34" i="82"/>
  <c r="Y34" i="82" s="1"/>
  <c r="Z36" i="81"/>
  <c r="S36" i="82"/>
  <c r="Y36" i="82" s="1"/>
  <c r="Z33" i="79" l="1"/>
  <c r="S33" i="80"/>
  <c r="Y33" i="80" s="1"/>
  <c r="Z36" i="82"/>
  <c r="S36" i="83"/>
  <c r="Y36" i="83" s="1"/>
  <c r="Z35" i="82"/>
  <c r="S35" i="83"/>
  <c r="Y35" i="83" s="1"/>
  <c r="Z34" i="82"/>
  <c r="S34" i="83"/>
  <c r="Y34" i="83" s="1"/>
  <c r="Z33" i="80" l="1"/>
  <c r="S33" i="81"/>
  <c r="Y33" i="81" s="1"/>
  <c r="Z34" i="83"/>
  <c r="S34" i="84"/>
  <c r="Y34" i="84" s="1"/>
  <c r="Z35" i="83"/>
  <c r="S35" i="84"/>
  <c r="Y35" i="84" s="1"/>
  <c r="Z36" i="83"/>
  <c r="S36" i="84"/>
  <c r="Y36" i="84" s="1"/>
  <c r="S33" i="82" l="1"/>
  <c r="Y33" i="82" s="1"/>
  <c r="Z33" i="81"/>
  <c r="Z36" i="84"/>
  <c r="Z35" i="84"/>
  <c r="Z34" i="84"/>
  <c r="Z33" i="82" l="1"/>
  <c r="S33" i="83"/>
  <c r="Y33" i="83" s="1"/>
  <c r="S33" i="84" l="1"/>
  <c r="Y33" i="84" s="1"/>
  <c r="Z33" i="83"/>
  <c r="Z33" i="8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<sst xmlns="http://schemas.openxmlformats.org/spreadsheetml/2006/main" count="3547" uniqueCount="261">
  <si>
    <t>日報表</t>
    <phoneticPr fontId="2" type="noConversion"/>
  </si>
  <si>
    <t>銷售明細</t>
    <phoneticPr fontId="2" type="noConversion"/>
  </si>
  <si>
    <t>購買人</t>
    <phoneticPr fontId="2" type="noConversion"/>
  </si>
  <si>
    <t>綜合</t>
    <phoneticPr fontId="2" type="noConversion"/>
  </si>
  <si>
    <t>原味</t>
    <phoneticPr fontId="2" type="noConversion"/>
  </si>
  <si>
    <t>可可</t>
    <phoneticPr fontId="2" type="noConversion"/>
  </si>
  <si>
    <t>伯爵</t>
    <phoneticPr fontId="2" type="noConversion"/>
  </si>
  <si>
    <t>抹茶</t>
    <phoneticPr fontId="2" type="noConversion"/>
  </si>
  <si>
    <t>備註</t>
    <phoneticPr fontId="2" type="noConversion"/>
  </si>
  <si>
    <t>林淑君</t>
    <phoneticPr fontId="2" type="noConversion"/>
  </si>
  <si>
    <t>林淑瑛</t>
    <phoneticPr fontId="2" type="noConversion"/>
  </si>
  <si>
    <t>許仁芳</t>
    <phoneticPr fontId="2" type="noConversion"/>
  </si>
  <si>
    <t>張秀麗</t>
    <phoneticPr fontId="2" type="noConversion"/>
  </si>
  <si>
    <t>折讓</t>
    <phoneticPr fontId="2" type="noConversion"/>
  </si>
  <si>
    <t>折讓金額</t>
    <phoneticPr fontId="2" type="noConversion"/>
  </si>
  <si>
    <t>金額</t>
    <phoneticPr fontId="2" type="noConversion"/>
  </si>
  <si>
    <t>實收金額</t>
    <phoneticPr fontId="2" type="noConversion"/>
  </si>
  <si>
    <t>禮盒</t>
    <phoneticPr fontId="2" type="noConversion"/>
  </si>
  <si>
    <t>單顆</t>
    <phoneticPr fontId="2" type="noConversion"/>
  </si>
  <si>
    <t>路人</t>
    <phoneticPr fontId="2" type="noConversion"/>
  </si>
  <si>
    <t>雲億</t>
    <phoneticPr fontId="2" type="noConversion"/>
  </si>
  <si>
    <t>晏禎</t>
    <phoneticPr fontId="2" type="noConversion"/>
  </si>
  <si>
    <t>運費</t>
    <phoneticPr fontId="2" type="noConversion"/>
  </si>
  <si>
    <t>總結</t>
    <phoneticPr fontId="2" type="noConversion"/>
  </si>
  <si>
    <t>營業額</t>
    <phoneticPr fontId="2" type="noConversion"/>
  </si>
  <si>
    <t>未結帳款</t>
  </si>
  <si>
    <t>未結帳款</t>
    <phoneticPr fontId="2" type="noConversion"/>
  </si>
  <si>
    <t>匯款</t>
  </si>
  <si>
    <t>匯款</t>
    <phoneticPr fontId="2" type="noConversion"/>
  </si>
  <si>
    <t>現金</t>
  </si>
  <si>
    <t>現金</t>
    <phoneticPr fontId="2" type="noConversion"/>
  </si>
  <si>
    <t>欄1</t>
  </si>
  <si>
    <t>營業總額</t>
    <phoneticPr fontId="2" type="noConversion"/>
  </si>
  <si>
    <t>金流</t>
    <phoneticPr fontId="2" type="noConversion"/>
  </si>
  <si>
    <t>物流</t>
    <phoneticPr fontId="2" type="noConversion"/>
  </si>
  <si>
    <t>運費實收</t>
    <phoneticPr fontId="2" type="noConversion"/>
  </si>
  <si>
    <t>運費實支</t>
    <phoneticPr fontId="2" type="noConversion"/>
  </si>
  <si>
    <t>成本差額</t>
    <phoneticPr fontId="2" type="noConversion"/>
  </si>
  <si>
    <t>商品銷售量</t>
    <phoneticPr fontId="2" type="noConversion"/>
  </si>
  <si>
    <t>原味.</t>
    <phoneticPr fontId="2" type="noConversion"/>
  </si>
  <si>
    <t>可可.</t>
    <phoneticPr fontId="2" type="noConversion"/>
  </si>
  <si>
    <t>伯爵.</t>
    <phoneticPr fontId="2" type="noConversion"/>
  </si>
  <si>
    <t>抹茶.</t>
    <phoneticPr fontId="2" type="noConversion"/>
  </si>
  <si>
    <t>總顆數</t>
    <phoneticPr fontId="2" type="noConversion"/>
  </si>
  <si>
    <t>應收</t>
    <phoneticPr fontId="2" type="noConversion"/>
  </si>
  <si>
    <t>實收</t>
    <phoneticPr fontId="2" type="noConversion"/>
  </si>
  <si>
    <t>類別</t>
    <phoneticPr fontId="2" type="noConversion"/>
  </si>
  <si>
    <t>黃薇芸</t>
    <phoneticPr fontId="2" type="noConversion"/>
  </si>
  <si>
    <t>吳明新</t>
    <phoneticPr fontId="2" type="noConversion"/>
  </si>
  <si>
    <t>威森家具</t>
    <phoneticPr fontId="2" type="noConversion"/>
  </si>
  <si>
    <t>吳張秀茶</t>
    <phoneticPr fontId="2" type="noConversion"/>
  </si>
  <si>
    <t>物流包材</t>
    <phoneticPr fontId="2" type="noConversion"/>
  </si>
  <si>
    <t>9折</t>
    <phoneticPr fontId="2" type="noConversion"/>
  </si>
  <si>
    <t>本月營業總額</t>
    <phoneticPr fontId="2" type="noConversion"/>
  </si>
  <si>
    <t>成本</t>
    <phoneticPr fontId="2" type="noConversion"/>
  </si>
  <si>
    <t>公關品</t>
    <phoneticPr fontId="2" type="noConversion"/>
  </si>
  <si>
    <t>公關運費</t>
    <phoneticPr fontId="2" type="noConversion"/>
  </si>
  <si>
    <t>販售量</t>
    <phoneticPr fontId="2" type="noConversion"/>
  </si>
  <si>
    <t>獲客成本</t>
    <phoneticPr fontId="2" type="noConversion"/>
  </si>
  <si>
    <t>公關品價值</t>
    <phoneticPr fontId="2" type="noConversion"/>
  </si>
  <si>
    <t>本月營業淨額</t>
    <phoneticPr fontId="2" type="noConversion"/>
  </si>
  <si>
    <t>營收概況</t>
    <phoneticPr fontId="2" type="noConversion"/>
  </si>
  <si>
    <t>食材成本</t>
  </si>
  <si>
    <t>食材成本</t>
    <phoneticPr fontId="2" type="noConversion"/>
  </si>
  <si>
    <t>本月銷售量</t>
  </si>
  <si>
    <t>單顆成本</t>
  </si>
  <si>
    <t>本月成本</t>
  </si>
  <si>
    <t>本月成本</t>
    <phoneticPr fontId="2" type="noConversion"/>
  </si>
  <si>
    <t>原味</t>
  </si>
  <si>
    <t>可可</t>
  </si>
  <si>
    <t>伯爵</t>
  </si>
  <si>
    <t>抹茶</t>
  </si>
  <si>
    <t>包材成本</t>
    <phoneticPr fontId="2" type="noConversion"/>
  </si>
  <si>
    <t>單顆包裝袋</t>
    <phoneticPr fontId="2" type="noConversion"/>
  </si>
  <si>
    <t>貼紙</t>
    <phoneticPr fontId="2" type="noConversion"/>
  </si>
  <si>
    <t>小卡</t>
    <phoneticPr fontId="2" type="noConversion"/>
  </si>
  <si>
    <t>膠帶</t>
    <phoneticPr fontId="2" type="noConversion"/>
  </si>
  <si>
    <t>本月使用量</t>
    <phoneticPr fontId="2" type="noConversion"/>
  </si>
  <si>
    <t>單份成本</t>
    <phoneticPr fontId="2" type="noConversion"/>
  </si>
  <si>
    <t>總盒數</t>
    <phoneticPr fontId="2" type="noConversion"/>
  </si>
  <si>
    <t>貨運成本</t>
    <phoneticPr fontId="2" type="noConversion"/>
  </si>
  <si>
    <t>項目</t>
    <phoneticPr fontId="2" type="noConversion"/>
  </si>
  <si>
    <t>物流運費</t>
    <phoneticPr fontId="2" type="noConversion"/>
  </si>
  <si>
    <t>小計</t>
    <phoneticPr fontId="2" type="noConversion"/>
  </si>
  <si>
    <t>毛利</t>
    <phoneticPr fontId="2" type="noConversion"/>
  </si>
  <si>
    <t>毛利率</t>
    <phoneticPr fontId="2" type="noConversion"/>
  </si>
  <si>
    <t>品項</t>
    <phoneticPr fontId="2" type="noConversion"/>
  </si>
  <si>
    <t>預計產量</t>
    <phoneticPr fontId="2" type="noConversion"/>
  </si>
  <si>
    <t>實際產量</t>
    <phoneticPr fontId="2" type="noConversion"/>
  </si>
  <si>
    <t>耗損</t>
    <phoneticPr fontId="2" type="noConversion"/>
  </si>
  <si>
    <t>實際銷售量</t>
    <phoneticPr fontId="2" type="noConversion"/>
  </si>
  <si>
    <t>產能及庫存</t>
    <phoneticPr fontId="2" type="noConversion"/>
  </si>
  <si>
    <t>原庫存</t>
    <phoneticPr fontId="2" type="noConversion"/>
  </si>
  <si>
    <t>今日庫存</t>
    <phoneticPr fontId="2" type="noConversion"/>
  </si>
  <si>
    <t>總損耗率</t>
    <phoneticPr fontId="2" type="noConversion"/>
  </si>
  <si>
    <t>損耗原因</t>
    <phoneticPr fontId="2" type="noConversion"/>
  </si>
  <si>
    <t>數量</t>
    <phoneticPr fontId="2" type="noConversion"/>
  </si>
  <si>
    <t>原因</t>
    <phoneticPr fontId="2" type="noConversion"/>
  </si>
  <si>
    <t>白頭</t>
    <phoneticPr fontId="2" type="noConversion"/>
  </si>
  <si>
    <t>技術</t>
  </si>
  <si>
    <t>人為</t>
  </si>
  <si>
    <t>掉地上</t>
    <phoneticPr fontId="2" type="noConversion"/>
  </si>
  <si>
    <t>吃掉</t>
  </si>
  <si>
    <t>2入紙箱</t>
    <phoneticPr fontId="2" type="noConversion"/>
  </si>
  <si>
    <t>4入紙箱</t>
    <phoneticPr fontId="2" type="noConversion"/>
  </si>
  <si>
    <t>10入紙箱</t>
    <phoneticPr fontId="2" type="noConversion"/>
  </si>
  <si>
    <t>種類</t>
    <phoneticPr fontId="2" type="noConversion"/>
  </si>
  <si>
    <t>總額</t>
    <phoneticPr fontId="2" type="noConversion"/>
  </si>
  <si>
    <t>應收帳款</t>
    <phoneticPr fontId="2" type="noConversion"/>
  </si>
  <si>
    <t>累積未結</t>
    <phoneticPr fontId="2" type="noConversion"/>
  </si>
  <si>
    <t>今日未結</t>
    <phoneticPr fontId="2" type="noConversion"/>
  </si>
  <si>
    <t>今日回款</t>
    <phoneticPr fontId="2" type="noConversion"/>
  </si>
  <si>
    <t>剩餘未結</t>
    <phoneticPr fontId="2" type="noConversion"/>
  </si>
  <si>
    <t>本月成本總計</t>
    <phoneticPr fontId="2" type="noConversion"/>
  </si>
  <si>
    <t>收款類別</t>
    <phoneticPr fontId="2" type="noConversion"/>
  </si>
  <si>
    <t>銷帳</t>
    <phoneticPr fontId="2" type="noConversion"/>
  </si>
  <si>
    <t>今日未結帳款清單</t>
    <phoneticPr fontId="2" type="noConversion"/>
  </si>
  <si>
    <t>今日銷帳清單</t>
    <phoneticPr fontId="2" type="noConversion"/>
  </si>
  <si>
    <t>林祥睿</t>
    <phoneticPr fontId="2" type="noConversion"/>
  </si>
  <si>
    <t>品牌行銷及固定支出</t>
    <phoneticPr fontId="2" type="noConversion"/>
  </si>
  <si>
    <t>房租</t>
    <phoneticPr fontId="2" type="noConversion"/>
  </si>
  <si>
    <t>水電</t>
    <phoneticPr fontId="2" type="noConversion"/>
  </si>
  <si>
    <t>網路</t>
    <phoneticPr fontId="2" type="noConversion"/>
  </si>
  <si>
    <t>勞健保</t>
    <phoneticPr fontId="2" type="noConversion"/>
  </si>
  <si>
    <t>人事</t>
    <phoneticPr fontId="2" type="noConversion"/>
  </si>
  <si>
    <t>訂閱費</t>
    <phoneticPr fontId="2" type="noConversion"/>
  </si>
  <si>
    <t>設備維修</t>
    <phoneticPr fontId="2" type="noConversion"/>
  </si>
  <si>
    <t>設備折舊</t>
    <phoneticPr fontId="2" type="noConversion"/>
  </si>
  <si>
    <t>會計</t>
    <phoneticPr fontId="2" type="noConversion"/>
  </si>
  <si>
    <t>雜項</t>
    <phoneticPr fontId="2" type="noConversion"/>
  </si>
  <si>
    <t>表單系統</t>
    <phoneticPr fontId="2" type="noConversion"/>
  </si>
  <si>
    <t>官網</t>
    <phoneticPr fontId="2" type="noConversion"/>
  </si>
  <si>
    <t>固定支出</t>
    <phoneticPr fontId="2" type="noConversion"/>
  </si>
  <si>
    <t>行銷支出</t>
    <phoneticPr fontId="2" type="noConversion"/>
  </si>
  <si>
    <t>人人</t>
    <phoneticPr fontId="2" type="noConversion"/>
  </si>
  <si>
    <t>商攝</t>
    <phoneticPr fontId="2" type="noConversion"/>
  </si>
  <si>
    <t>廣告投放</t>
    <phoneticPr fontId="2" type="noConversion"/>
  </si>
  <si>
    <t>合作</t>
    <phoneticPr fontId="2" type="noConversion"/>
  </si>
  <si>
    <t>市集成本</t>
    <phoneticPr fontId="2" type="noConversion"/>
  </si>
  <si>
    <t>本月總計</t>
    <phoneticPr fontId="2" type="noConversion"/>
  </si>
  <si>
    <t>贈品</t>
    <phoneticPr fontId="2" type="noConversion"/>
  </si>
  <si>
    <t>今日公關品總結</t>
    <phoneticPr fontId="2" type="noConversion"/>
  </si>
  <si>
    <t>總禮盒數</t>
    <phoneticPr fontId="2" type="noConversion"/>
  </si>
  <si>
    <t>本月公關品總結</t>
    <phoneticPr fontId="2" type="noConversion"/>
  </si>
  <si>
    <t>營業變動成本</t>
    <phoneticPr fontId="2" type="noConversion"/>
  </si>
  <si>
    <t>財務月報表</t>
    <phoneticPr fontId="2" type="noConversion"/>
  </si>
  <si>
    <t>115  年  4  月 份 報 表</t>
    <phoneticPr fontId="2" type="noConversion"/>
  </si>
  <si>
    <t>-   變動成本</t>
    <phoneticPr fontId="2" type="noConversion"/>
  </si>
  <si>
    <t>-  固定成本</t>
    <phoneticPr fontId="2" type="noConversion"/>
  </si>
  <si>
    <t>=  本月淨利</t>
    <phoneticPr fontId="2" type="noConversion"/>
  </si>
  <si>
    <t>-  本月攤提10%</t>
    <phoneticPr fontId="2" type="noConversion"/>
  </si>
  <si>
    <t>=  本月實拿</t>
    <phoneticPr fontId="2" type="noConversion"/>
  </si>
  <si>
    <t>產品數據月報表</t>
    <phoneticPr fontId="2" type="noConversion"/>
  </si>
  <si>
    <t>產品類別</t>
    <phoneticPr fontId="2" type="noConversion"/>
  </si>
  <si>
    <t>銷售量</t>
    <phoneticPr fontId="2" type="noConversion"/>
  </si>
  <si>
    <t>售價</t>
    <phoneticPr fontId="2" type="noConversion"/>
  </si>
  <si>
    <t>烘焙耗損</t>
    <phoneticPr fontId="2" type="noConversion"/>
  </si>
  <si>
    <t>綜合禮盒</t>
    <phoneticPr fontId="2" type="noConversion"/>
  </si>
  <si>
    <t>原味禮盒</t>
    <phoneticPr fontId="2" type="noConversion"/>
  </si>
  <si>
    <t>可可禮盒</t>
    <phoneticPr fontId="2" type="noConversion"/>
  </si>
  <si>
    <t>伯爵禮盒</t>
    <phoneticPr fontId="2" type="noConversion"/>
  </si>
  <si>
    <t>抹茶禮盒</t>
    <phoneticPr fontId="2" type="noConversion"/>
  </si>
  <si>
    <t>原味單顆</t>
    <phoneticPr fontId="2" type="noConversion"/>
  </si>
  <si>
    <t>可可單顆</t>
    <phoneticPr fontId="2" type="noConversion"/>
  </si>
  <si>
    <t>伯爵單顆</t>
    <phoneticPr fontId="2" type="noConversion"/>
  </si>
  <si>
    <t>抹茶單顆</t>
    <phoneticPr fontId="2" type="noConversion"/>
  </si>
  <si>
    <t>單售</t>
    <phoneticPr fontId="2" type="noConversion"/>
  </si>
  <si>
    <t>烘焙耗損率</t>
    <phoneticPr fontId="2" type="noConversion"/>
  </si>
  <si>
    <t>產品銷售分布圖</t>
    <phoneticPr fontId="2" type="noConversion"/>
  </si>
  <si>
    <t>毛利分析圖</t>
    <phoneticPr fontId="2" type="noConversion"/>
  </si>
  <si>
    <t>人為</t>
    <phoneticPr fontId="2" type="noConversion"/>
  </si>
  <si>
    <t>技術</t>
    <phoneticPr fontId="2" type="noConversion"/>
  </si>
  <si>
    <t>過期</t>
    <phoneticPr fontId="2" type="noConversion"/>
  </si>
  <si>
    <t>吃掉</t>
    <phoneticPr fontId="2" type="noConversion"/>
  </si>
  <si>
    <t>總數</t>
    <phoneticPr fontId="2" type="noConversion"/>
  </si>
  <si>
    <t>耗損類別分析</t>
    <phoneticPr fontId="2" type="noConversion"/>
  </si>
  <si>
    <t>技術耗損</t>
    <phoneticPr fontId="2" type="noConversion"/>
  </si>
  <si>
    <t>產品烘焙耗損率</t>
    <phoneticPr fontId="2" type="noConversion"/>
  </si>
  <si>
    <t>Rebeca</t>
  </si>
  <si>
    <t>陳宥嫺</t>
  </si>
  <si>
    <t>鄭凱丞</t>
  </si>
  <si>
    <t>王嘉鈴</t>
  </si>
  <si>
    <t>李貴燕</t>
  </si>
  <si>
    <t>陳德鴻</t>
  </si>
  <si>
    <t>郭思妤</t>
  </si>
  <si>
    <t>洪惠珍</t>
  </si>
  <si>
    <t>王柏竣</t>
  </si>
  <si>
    <t>李益昌</t>
  </si>
  <si>
    <t>李泓陞</t>
  </si>
  <si>
    <t>展昭</t>
    <phoneticPr fontId="2" type="noConversion"/>
  </si>
  <si>
    <t>營業稅</t>
    <phoneticPr fontId="2" type="noConversion"/>
  </si>
  <si>
    <t>張文信</t>
  </si>
  <si>
    <t>派大星</t>
  </si>
  <si>
    <t>耗損成本</t>
    <phoneticPr fontId="2" type="noConversion"/>
  </si>
  <si>
    <t>本月耗損</t>
    <phoneticPr fontId="2" type="noConversion"/>
  </si>
  <si>
    <t>總耗損率</t>
    <phoneticPr fontId="2" type="noConversion"/>
  </si>
  <si>
    <t>買十送一</t>
    <phoneticPr fontId="2" type="noConversion"/>
  </si>
  <si>
    <t>吳明順</t>
    <phoneticPr fontId="2" type="noConversion"/>
  </si>
  <si>
    <t>檸檬</t>
    <phoneticPr fontId="2" type="noConversion"/>
  </si>
  <si>
    <t>抽獎</t>
    <phoneticPr fontId="2" type="noConversion"/>
  </si>
  <si>
    <t>周先生</t>
    <phoneticPr fontId="2" type="noConversion"/>
  </si>
  <si>
    <t>店取</t>
    <phoneticPr fontId="2" type="noConversion"/>
  </si>
  <si>
    <t>陳裕莛</t>
    <phoneticPr fontId="2" type="noConversion"/>
  </si>
  <si>
    <t>謝凌汎</t>
    <phoneticPr fontId="2" type="noConversion"/>
  </si>
  <si>
    <t>李凱裕</t>
    <phoneticPr fontId="2" type="noConversion"/>
  </si>
  <si>
    <t>王威鈞</t>
    <phoneticPr fontId="2" type="noConversion"/>
  </si>
  <si>
    <t>郭小姐</t>
    <phoneticPr fontId="2" type="noConversion"/>
  </si>
  <si>
    <t>張雲逸</t>
    <phoneticPr fontId="2" type="noConversion"/>
  </si>
  <si>
    <t>張采妮</t>
    <phoneticPr fontId="2" type="noConversion"/>
  </si>
  <si>
    <t>過期</t>
  </si>
  <si>
    <t>李張秀菊</t>
    <phoneticPr fontId="2" type="noConversion"/>
  </si>
  <si>
    <t>小可＊2</t>
    <phoneticPr fontId="2" type="noConversion"/>
  </si>
  <si>
    <t>蘇伯偉</t>
    <phoneticPr fontId="2" type="noConversion"/>
  </si>
  <si>
    <t>鄭昱翔</t>
    <phoneticPr fontId="2" type="noConversion"/>
  </si>
  <si>
    <t>余軍威</t>
    <phoneticPr fontId="2" type="noConversion"/>
  </si>
  <si>
    <t>楊智鈞</t>
    <phoneticPr fontId="2" type="noConversion"/>
  </si>
  <si>
    <t>張吉愷</t>
    <phoneticPr fontId="2" type="noConversion"/>
  </si>
  <si>
    <t>陳小陳</t>
    <phoneticPr fontId="2" type="noConversion"/>
  </si>
  <si>
    <t>曾小曾</t>
    <phoneticPr fontId="2" type="noConversion"/>
  </si>
  <si>
    <t>黃詩祐</t>
    <phoneticPr fontId="2" type="noConversion"/>
  </si>
  <si>
    <t>吳思錡</t>
  </si>
  <si>
    <t>李小丁</t>
    <phoneticPr fontId="2" type="noConversion"/>
  </si>
  <si>
    <t>夏詩萌</t>
    <phoneticPr fontId="2" type="noConversion"/>
  </si>
  <si>
    <t>劉美美</t>
    <phoneticPr fontId="2" type="noConversion"/>
  </si>
  <si>
    <t>徐妍熙</t>
    <phoneticPr fontId="2" type="noConversion"/>
  </si>
  <si>
    <t>林芯璿</t>
    <phoneticPr fontId="2" type="noConversion"/>
  </si>
  <si>
    <t>郭芷涵</t>
    <phoneticPr fontId="2" type="noConversion"/>
  </si>
  <si>
    <t>潘威綸</t>
    <phoneticPr fontId="2" type="noConversion"/>
  </si>
  <si>
    <t>小小七</t>
    <phoneticPr fontId="2" type="noConversion"/>
  </si>
  <si>
    <t>黃品涵</t>
    <phoneticPr fontId="2" type="noConversion"/>
  </si>
  <si>
    <t>劉玉凡</t>
    <phoneticPr fontId="2" type="noConversion"/>
  </si>
  <si>
    <t>張景涵</t>
  </si>
  <si>
    <t>崔江朔</t>
    <phoneticPr fontId="2" type="noConversion"/>
  </si>
  <si>
    <t>詹仁勳</t>
    <phoneticPr fontId="2" type="noConversion"/>
  </si>
  <si>
    <t>柳攸孟</t>
    <phoneticPr fontId="2" type="noConversion"/>
  </si>
  <si>
    <t>黃建豪</t>
    <phoneticPr fontId="2" type="noConversion"/>
  </si>
  <si>
    <t>李承宇</t>
    <phoneticPr fontId="2" type="noConversion"/>
  </si>
  <si>
    <t>王威峻</t>
  </si>
  <si>
    <t>周梓筠</t>
    <phoneticPr fontId="2" type="noConversion"/>
  </si>
  <si>
    <t>魏辰安</t>
  </si>
  <si>
    <t>李有霖</t>
  </si>
  <si>
    <t>李杰紘</t>
  </si>
  <si>
    <t>林以婕</t>
  </si>
  <si>
    <t>楊欣蕙</t>
  </si>
  <si>
    <t>蔡品睿</t>
  </si>
  <si>
    <t>徐韋傑</t>
  </si>
  <si>
    <t>倪茂翔</t>
  </si>
  <si>
    <t>吳宜亭</t>
    <phoneticPr fontId="2" type="noConversion"/>
  </si>
  <si>
    <t>雅山</t>
    <phoneticPr fontId="2" type="noConversion"/>
  </si>
  <si>
    <t>1.小李8個明天寄</t>
    <phoneticPr fontId="2" type="noConversion"/>
  </si>
  <si>
    <t>2明天運費記得要轉過來</t>
    <phoneticPr fontId="2" type="noConversion"/>
  </si>
  <si>
    <t>自取</t>
    <phoneticPr fontId="2" type="noConversion"/>
  </si>
  <si>
    <t>王儷穎</t>
    <phoneticPr fontId="2" type="noConversion"/>
  </si>
  <si>
    <t>燒焦</t>
    <phoneticPr fontId="2" type="noConversion"/>
  </si>
  <si>
    <t>王薇慈</t>
    <phoneticPr fontId="2" type="noConversion"/>
  </si>
  <si>
    <t>陳佳慧</t>
    <phoneticPr fontId="2" type="noConversion"/>
  </si>
  <si>
    <t>林士娟</t>
    <phoneticPr fontId="2" type="noConversion"/>
  </si>
  <si>
    <t xml:space="preserve">   </t>
    <phoneticPr fontId="2" type="noConversion"/>
  </si>
  <si>
    <t>對面老闆</t>
    <phoneticPr fontId="2" type="noConversion"/>
  </si>
  <si>
    <t>拍攝用</t>
    <phoneticPr fontId="2" type="noConversion"/>
  </si>
  <si>
    <t>合計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</si>
</sst>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76" formatCode="\-0"/>
    <numFmt numFmtId="177" formatCode="#,#00"/>
    <numFmt numFmtId="178" formatCode="#,##0_ "/>
    <numFmt numFmtId="179" formatCode="0;0;;@"/>
  </numFmts>
  <fonts count="26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6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8"/>
      <color theme="1"/>
      <name val="新細明體"/>
      <family val="2"/>
      <charset val="136"/>
      <scheme val="minor"/>
    </font>
    <font>
      <sz val="22"/>
      <color theme="1"/>
      <name val="新細明體"/>
      <family val="2"/>
      <charset val="136"/>
      <scheme val="minor"/>
    </font>
    <font>
      <sz val="26"/>
      <color theme="0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20"/>
      <color theme="1"/>
      <name val="新細明體"/>
      <family val="2"/>
      <charset val="136"/>
      <scheme val="minor"/>
    </font>
    <font>
      <sz val="12"/>
      <color theme="0"/>
      <name val="新細明體 (本文)"/>
      <family val="1"/>
      <charset val="136"/>
    </font>
    <font>
      <sz val="16"/>
      <color theme="1"/>
      <name val="新細明體"/>
      <family val="1"/>
      <charset val="136"/>
      <scheme val="minor"/>
    </font>
    <font>
      <sz val="18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28"/>
      <color theme="1"/>
      <name val="新細明體"/>
      <family val="2"/>
      <charset val="136"/>
      <scheme val="minor"/>
    </font>
    <font>
      <b/>
      <sz val="28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26"/>
      <color theme="0"/>
      <name val="新細明體 (本文)"/>
      <family val="1"/>
      <charset val="136"/>
    </font>
    <font>
      <b/>
      <sz val="26"/>
      <color theme="0"/>
      <name val="新細明體"/>
      <family val="1"/>
      <charset val="136"/>
    </font>
    <font>
      <sz val="36"/>
      <color theme="0"/>
      <name val="新細明體 (本文)"/>
      <family val="1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7" tint="-0.499984740745262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A3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892FF"/>
        <bgColor indexed="64"/>
      </patternFill>
    </fill>
    <fill>
      <patternFill patternType="solid">
        <fgColor rgb="FFBFB0FE"/>
        <bgColor indexed="64"/>
      </patternFill>
    </fill>
    <fill>
      <patternFill patternType="solid">
        <fgColor rgb="FFD0CBFD"/>
        <bgColor indexed="64"/>
      </patternFill>
    </fill>
    <fill>
      <patternFill patternType="solid">
        <fgColor rgb="FFFF8173"/>
        <bgColor indexed="64"/>
      </patternFill>
    </fill>
    <fill>
      <patternFill patternType="solid">
        <fgColor rgb="FFEDF9C9"/>
        <bgColor indexed="64"/>
      </patternFill>
    </fill>
    <fill>
      <patternFill patternType="solid">
        <fgColor rgb="FFEFEBB8"/>
        <bgColor indexed="64"/>
      </patternFill>
    </fill>
    <fill>
      <patternFill patternType="solid">
        <fgColor rgb="FFF4F3D4"/>
        <bgColor indexed="64"/>
      </patternFill>
    </fill>
    <fill>
      <patternFill patternType="solid">
        <fgColor rgb="FFF4D3C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7221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</borders>
  <cellStyleXfs count="3">
    <xf numFmtId="0" fontId="0" fillId="0" borderId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26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7" xfId="0" applyBorder="1">
      <alignment vertical="center"/>
    </xf>
    <xf numFmtId="0" fontId="0" fillId="0" borderId="4" xfId="0" applyBorder="1">
      <alignment vertical="center"/>
    </xf>
    <xf numFmtId="0" fontId="0" fillId="0" borderId="9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7" xfId="0" quotePrefix="1" applyBorder="1">
      <alignment vertical="center"/>
    </xf>
    <xf numFmtId="0" fontId="0" fillId="0" borderId="7" xfId="0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0" xfId="0" applyAlignment="1">
      <alignment vertical="center"/>
    </xf>
    <xf numFmtId="0" fontId="0" fillId="4" borderId="1" xfId="0" applyFill="1" applyBorder="1">
      <alignment vertical="center"/>
    </xf>
    <xf numFmtId="0" fontId="14" fillId="0" borderId="0" xfId="0" applyFont="1" applyBorder="1">
      <alignment vertical="center"/>
    </xf>
    <xf numFmtId="0" fontId="14" fillId="17" borderId="0" xfId="0" applyFont="1" applyFill="1" applyBorder="1">
      <alignment vertical="center"/>
    </xf>
    <xf numFmtId="0" fontId="14" fillId="16" borderId="0" xfId="0" applyFont="1" applyFill="1" applyBorder="1">
      <alignment vertical="center"/>
    </xf>
    <xf numFmtId="9" fontId="0" fillId="0" borderId="0" xfId="2" applyFont="1">
      <alignment vertical="center"/>
    </xf>
    <xf numFmtId="9" fontId="0" fillId="0" borderId="8" xfId="2" applyFont="1" applyBorder="1">
      <alignment vertical="center"/>
    </xf>
    <xf numFmtId="0" fontId="0" fillId="0" borderId="8" xfId="0" applyBorder="1" applyAlignment="1">
      <alignment horizontal="left" vertical="center"/>
    </xf>
    <xf numFmtId="0" fontId="0" fillId="0" borderId="0" xfId="0" applyFill="1" applyBorder="1">
      <alignment vertical="center"/>
    </xf>
    <xf numFmtId="0" fontId="0" fillId="0" borderId="9" xfId="0" applyBorder="1" applyAlignment="1">
      <alignment vertical="center"/>
    </xf>
    <xf numFmtId="0" fontId="14" fillId="0" borderId="6" xfId="0" applyFont="1" applyBorder="1">
      <alignment vertical="center"/>
    </xf>
    <xf numFmtId="0" fontId="14" fillId="16" borderId="6" xfId="0" applyFont="1" applyFill="1" applyBorder="1" applyAlignment="1">
      <alignment horizontal="center" vertical="center"/>
    </xf>
    <xf numFmtId="0" fontId="14" fillId="17" borderId="6" xfId="0" applyFont="1" applyFill="1" applyBorder="1" applyAlignment="1">
      <alignment horizontal="center" vertical="center"/>
    </xf>
    <xf numFmtId="0" fontId="14" fillId="16" borderId="9" xfId="0" applyFont="1" applyFill="1" applyBorder="1">
      <alignment vertical="center"/>
    </xf>
    <xf numFmtId="0" fontId="14" fillId="0" borderId="9" xfId="0" applyFont="1" applyBorder="1">
      <alignment vertical="center"/>
    </xf>
    <xf numFmtId="0" fontId="0" fillId="17" borderId="6" xfId="0" applyFill="1" applyBorder="1">
      <alignment vertical="center"/>
    </xf>
    <xf numFmtId="0" fontId="0" fillId="16" borderId="6" xfId="0" applyFill="1" applyBorder="1">
      <alignment vertical="center"/>
    </xf>
    <xf numFmtId="0" fontId="14" fillId="17" borderId="9" xfId="0" applyFont="1" applyFill="1" applyBorder="1">
      <alignment vertical="center"/>
    </xf>
    <xf numFmtId="0" fontId="14" fillId="18" borderId="6" xfId="0" applyFont="1" applyFill="1" applyBorder="1">
      <alignment vertical="center"/>
    </xf>
    <xf numFmtId="0" fontId="0" fillId="0" borderId="10" xfId="0" applyBorder="1">
      <alignment vertical="center"/>
    </xf>
    <xf numFmtId="0" fontId="0" fillId="2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vertical="center"/>
    </xf>
    <xf numFmtId="177" fontId="4" fillId="0" borderId="1" xfId="0" applyNumberFormat="1" applyFont="1" applyBorder="1" applyAlignment="1">
      <alignment vertical="center"/>
    </xf>
    <xf numFmtId="177" fontId="4" fillId="26" borderId="1" xfId="0" applyNumberFormat="1" applyFont="1" applyFill="1" applyBorder="1" applyAlignment="1">
      <alignment vertical="center"/>
    </xf>
    <xf numFmtId="177" fontId="18" fillId="0" borderId="1" xfId="0" applyNumberFormat="1" applyFont="1" applyBorder="1" applyAlignment="1">
      <alignment vertical="center"/>
    </xf>
    <xf numFmtId="0" fontId="9" fillId="0" borderId="0" xfId="0" applyFont="1" applyBorder="1">
      <alignment vertical="center"/>
    </xf>
    <xf numFmtId="0" fontId="17" fillId="0" borderId="0" xfId="0" applyFont="1" applyBorder="1">
      <alignment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4" fillId="0" borderId="0" xfId="0" applyFont="1" applyFill="1">
      <alignment vertical="center"/>
    </xf>
    <xf numFmtId="0" fontId="4" fillId="19" borderId="6" xfId="0" applyFont="1" applyFill="1" applyBorder="1" applyAlignment="1">
      <alignment horizontal="center" vertical="center"/>
    </xf>
    <xf numFmtId="0" fontId="4" fillId="24" borderId="6" xfId="0" applyFont="1" applyFill="1" applyBorder="1" applyAlignment="1">
      <alignment horizontal="center" vertical="center"/>
    </xf>
    <xf numFmtId="0" fontId="0" fillId="24" borderId="0" xfId="0" applyFill="1" applyBorder="1">
      <alignment vertical="center"/>
    </xf>
    <xf numFmtId="0" fontId="0" fillId="19" borderId="0" xfId="0" applyFill="1" applyBorder="1">
      <alignment vertical="center"/>
    </xf>
    <xf numFmtId="0" fontId="0" fillId="24" borderId="6" xfId="0" applyFill="1" applyBorder="1">
      <alignment vertical="center"/>
    </xf>
    <xf numFmtId="0" fontId="0" fillId="19" borderId="6" xfId="0" applyFill="1" applyBorder="1">
      <alignment vertical="center"/>
    </xf>
    <xf numFmtId="0" fontId="0" fillId="0" borderId="7" xfId="0" applyBorder="1" applyAlignment="1">
      <alignment horizontal="left" vertical="center" indent="2"/>
    </xf>
    <xf numFmtId="0" fontId="0" fillId="0" borderId="8" xfId="0" applyBorder="1" applyAlignment="1">
      <alignment horizontal="left" vertical="center" indent="2"/>
    </xf>
    <xf numFmtId="0" fontId="0" fillId="0" borderId="4" xfId="0" applyBorder="1" applyAlignment="1">
      <alignment horizontal="left" vertical="center" indent="2"/>
    </xf>
    <xf numFmtId="0" fontId="0" fillId="0" borderId="5" xfId="0" applyBorder="1" applyAlignment="1">
      <alignment horizontal="left" vertical="center" indent="2"/>
    </xf>
    <xf numFmtId="0" fontId="0" fillId="26" borderId="0" xfId="0" applyFill="1" applyBorder="1">
      <alignment vertical="center"/>
    </xf>
    <xf numFmtId="0" fontId="0" fillId="25" borderId="0" xfId="0" applyFill="1" applyBorder="1">
      <alignment vertical="center"/>
    </xf>
    <xf numFmtId="0" fontId="0" fillId="26" borderId="9" xfId="0" applyFill="1" applyBorder="1">
      <alignment vertical="center"/>
    </xf>
    <xf numFmtId="10" fontId="4" fillId="0" borderId="0" xfId="0" applyNumberFormat="1" applyFont="1" applyFill="1">
      <alignment vertical="center"/>
    </xf>
    <xf numFmtId="0" fontId="0" fillId="28" borderId="1" xfId="0" applyFill="1" applyBorder="1">
      <alignment vertical="center"/>
    </xf>
    <xf numFmtId="0" fontId="9" fillId="0" borderId="0" xfId="0" applyFont="1">
      <alignment vertical="center"/>
    </xf>
    <xf numFmtId="0" fontId="17" fillId="0" borderId="0" xfId="0" applyFont="1">
      <alignment vertical="center"/>
    </xf>
    <xf numFmtId="9" fontId="0" fillId="0" borderId="0" xfId="0" applyNumberFormat="1">
      <alignment vertical="center"/>
    </xf>
    <xf numFmtId="0" fontId="0" fillId="34" borderId="0" xfId="0" applyFill="1">
      <alignment vertical="center"/>
    </xf>
    <xf numFmtId="0" fontId="0" fillId="0" borderId="0" xfId="0" applyFill="1" applyAlignment="1"/>
    <xf numFmtId="0" fontId="0" fillId="0" borderId="24" xfId="0" applyFill="1" applyBorder="1" applyAlignment="1"/>
    <xf numFmtId="0" fontId="0" fillId="0" borderId="0" xfId="0" applyBorder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0" fillId="0" borderId="9" xfId="0" applyBorder="1">
      <alignment vertical="center"/>
    </xf>
    <xf numFmtId="0" fontId="0" fillId="0" borderId="7" xfId="0" applyBorder="1">
      <alignment vertical="center"/>
    </xf>
    <xf numFmtId="0" fontId="0" fillId="0" borderId="0" xfId="0" applyBorder="1" applyAlignme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6" xfId="0" applyFont="1" applyBorder="1">
      <alignment vertical="center"/>
    </xf>
    <xf numFmtId="0" fontId="0" fillId="0" borderId="6" xfId="0" applyFont="1" applyBorder="1">
      <alignment vertical="center"/>
    </xf>
    <xf numFmtId="0" fontId="0" fillId="0" borderId="0" xfId="0" applyNumberFormat="1" applyBorder="1">
      <alignment vertical="center"/>
    </xf>
    <xf numFmtId="179" fontId="3" fillId="0" borderId="0" xfId="0" applyNumberFormat="1" applyFont="1" applyFill="1" applyAlignment="1">
      <alignment horizontal="center" vertical="center"/>
    </xf>
    <xf numFmtId="179" fontId="0" fillId="0" borderId="0" xfId="0" applyNumberFormat="1" applyBorder="1">
      <alignment vertical="center"/>
    </xf>
    <xf numFmtId="179" fontId="0" fillId="0" borderId="9" xfId="0" applyNumberFormat="1" applyBorder="1">
      <alignment vertical="center"/>
    </xf>
    <xf numFmtId="179" fontId="0" fillId="0" borderId="0" xfId="0" applyNumberFormat="1">
      <alignment vertical="center"/>
    </xf>
    <xf numFmtId="0" fontId="0" fillId="4" borderId="8" xfId="0" applyFill="1" applyBorder="1">
      <alignment vertical="center"/>
    </xf>
    <xf numFmtId="0" fontId="0" fillId="0" borderId="0" xfId="0" applyAlignment="1">
      <alignment horizontal="center" vertical="center"/>
    </xf>
    <xf numFmtId="178" fontId="15" fillId="0" borderId="0" xfId="0" applyNumberFormat="1" applyFont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32" borderId="0" xfId="0" quotePrefix="1" applyFont="1" applyFill="1" applyAlignment="1">
      <alignment horizontal="center" vertical="center"/>
    </xf>
    <xf numFmtId="0" fontId="10" fillId="32" borderId="0" xfId="0" applyFont="1" applyFill="1" applyAlignment="1">
      <alignment horizontal="center" vertical="center"/>
    </xf>
    <xf numFmtId="0" fontId="10" fillId="23" borderId="0" xfId="0" quotePrefix="1" applyFont="1" applyFill="1" applyAlignment="1">
      <alignment horizontal="center" vertical="center"/>
    </xf>
    <xf numFmtId="0" fontId="10" fillId="23" borderId="0" xfId="0" applyFont="1" applyFill="1" applyAlignment="1">
      <alignment horizontal="center" vertical="center"/>
    </xf>
    <xf numFmtId="0" fontId="22" fillId="31" borderId="0" xfId="0" applyFont="1" applyFill="1" applyAlignment="1">
      <alignment horizontal="center" vertical="center"/>
    </xf>
    <xf numFmtId="0" fontId="11" fillId="31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14" borderId="0" xfId="0" quotePrefix="1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3" fillId="0" borderId="0" xfId="0" quotePrefix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37" fontId="15" fillId="0" borderId="0" xfId="0" applyNumberFormat="1" applyFont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9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9" xfId="0" applyBorder="1">
      <alignment vertical="center"/>
    </xf>
    <xf numFmtId="0" fontId="0" fillId="10" borderId="2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9" fontId="10" fillId="0" borderId="19" xfId="1" applyNumberFormat="1" applyFont="1" applyBorder="1" applyAlignment="1">
      <alignment horizontal="center" vertical="center"/>
    </xf>
    <xf numFmtId="39" fontId="10" fillId="0" borderId="20" xfId="1" applyNumberFormat="1" applyFont="1" applyBorder="1" applyAlignment="1">
      <alignment horizontal="center" vertical="center"/>
    </xf>
    <xf numFmtId="39" fontId="10" fillId="0" borderId="21" xfId="1" applyNumberFormat="1" applyFont="1" applyBorder="1" applyAlignment="1">
      <alignment horizontal="center" vertical="center"/>
    </xf>
    <xf numFmtId="39" fontId="10" fillId="0" borderId="23" xfId="1" applyNumberFormat="1" applyFont="1" applyBorder="1" applyAlignment="1">
      <alignment horizontal="center" vertical="center"/>
    </xf>
    <xf numFmtId="0" fontId="0" fillId="19" borderId="0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19" fillId="29" borderId="0" xfId="0" applyFont="1" applyFill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5" borderId="0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0" fillId="0" borderId="9" xfId="2" applyFont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11" xfId="0" applyFill="1" applyBorder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40" fontId="0" fillId="0" borderId="11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39" fontId="10" fillId="0" borderId="16" xfId="1" applyNumberFormat="1" applyFont="1" applyBorder="1" applyAlignment="1">
      <alignment horizontal="center" vertical="center"/>
    </xf>
    <xf numFmtId="39" fontId="10" fillId="0" borderId="18" xfId="1" applyNumberFormat="1" applyFont="1" applyBorder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14" borderId="18" xfId="0" applyFill="1" applyBorder="1" applyAlignment="1">
      <alignment horizontal="center" vertical="center"/>
    </xf>
    <xf numFmtId="0" fontId="0" fillId="14" borderId="19" xfId="0" applyFill="1" applyBorder="1" applyAlignment="1">
      <alignment horizontal="center" vertical="center"/>
    </xf>
    <xf numFmtId="0" fontId="0" fillId="14" borderId="20" xfId="0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4" fillId="14" borderId="7" xfId="0" applyFont="1" applyFill="1" applyBorder="1" applyAlignment="1">
      <alignment horizontal="center" vertical="center"/>
    </xf>
    <xf numFmtId="0" fontId="14" fillId="14" borderId="4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13" fillId="6" borderId="19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177" fontId="16" fillId="0" borderId="19" xfId="0" applyNumberFormat="1" applyFont="1" applyBorder="1" applyAlignment="1">
      <alignment horizontal="center" vertical="center"/>
    </xf>
    <xf numFmtId="177" fontId="16" fillId="0" borderId="0" xfId="0" applyNumberFormat="1" applyFont="1" applyBorder="1" applyAlignment="1">
      <alignment horizontal="center" vertical="center"/>
    </xf>
    <xf numFmtId="177" fontId="16" fillId="0" borderId="21" xfId="0" applyNumberFormat="1" applyFont="1" applyBorder="1" applyAlignment="1">
      <alignment horizontal="center" vertical="center"/>
    </xf>
    <xf numFmtId="177" fontId="16" fillId="0" borderId="22" xfId="0" applyNumberFormat="1" applyFont="1" applyBorder="1" applyAlignment="1">
      <alignment horizontal="center" vertical="center"/>
    </xf>
    <xf numFmtId="0" fontId="19" fillId="9" borderId="2" xfId="0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0" fontId="0" fillId="30" borderId="2" xfId="0" applyFill="1" applyBorder="1" applyAlignment="1">
      <alignment horizontal="center" vertical="center"/>
    </xf>
    <xf numFmtId="0" fontId="0" fillId="30" borderId="3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8" borderId="2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12" fillId="20" borderId="2" xfId="0" applyFont="1" applyFill="1" applyBorder="1" applyAlignment="1">
      <alignment horizontal="center" vertical="center"/>
    </xf>
    <xf numFmtId="0" fontId="12" fillId="20" borderId="6" xfId="0" applyFont="1" applyFill="1" applyBorder="1" applyAlignment="1">
      <alignment horizontal="center" vertical="center"/>
    </xf>
    <xf numFmtId="0" fontId="12" fillId="20" borderId="3" xfId="0" applyFont="1" applyFill="1" applyBorder="1" applyAlignment="1">
      <alignment horizontal="center" vertical="center"/>
    </xf>
    <xf numFmtId="0" fontId="12" fillId="20" borderId="7" xfId="0" applyFont="1" applyFill="1" applyBorder="1" applyAlignment="1">
      <alignment horizontal="center" vertical="center"/>
    </xf>
    <xf numFmtId="0" fontId="12" fillId="20" borderId="0" xfId="0" applyFont="1" applyFill="1" applyBorder="1" applyAlignment="1">
      <alignment horizontal="center" vertical="center"/>
    </xf>
    <xf numFmtId="0" fontId="12" fillId="20" borderId="8" xfId="0" applyFont="1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/>
    </xf>
    <xf numFmtId="0" fontId="0" fillId="22" borderId="6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22" borderId="7" xfId="0" applyFill="1" applyBorder="1" applyAlignment="1">
      <alignment horizontal="center" vertical="center"/>
    </xf>
    <xf numFmtId="0" fontId="0" fillId="22" borderId="0" xfId="0" applyFill="1" applyBorder="1" applyAlignment="1">
      <alignment horizontal="center" vertical="center"/>
    </xf>
    <xf numFmtId="0" fontId="0" fillId="22" borderId="8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4" fillId="17" borderId="2" xfId="0" applyFont="1" applyFill="1" applyBorder="1" applyAlignment="1">
      <alignment horizontal="center" vertical="center"/>
    </xf>
    <xf numFmtId="0" fontId="4" fillId="17" borderId="6" xfId="0" applyFont="1" applyFill="1" applyBorder="1" applyAlignment="1">
      <alignment horizontal="center" vertical="center"/>
    </xf>
    <xf numFmtId="0" fontId="4" fillId="17" borderId="3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8" borderId="7" xfId="0" applyFont="1" applyFill="1" applyBorder="1" applyAlignment="1">
      <alignment horizontal="center" vertical="center"/>
    </xf>
    <xf numFmtId="0" fontId="0" fillId="8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indent="9"/>
    </xf>
    <xf numFmtId="0" fontId="0" fillId="0" borderId="8" xfId="0" applyBorder="1" applyAlignment="1">
      <alignment horizontal="left" vertical="center" indent="9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7" fillId="9" borderId="0" xfId="0" applyFont="1" applyFill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6" fillId="4" borderId="1" xfId="1" applyNumberFormat="1" applyFon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0" fontId="4" fillId="17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28" borderId="0" xfId="0" applyFill="1" applyBorder="1" applyAlignment="1">
      <alignment horizontal="center" vertical="center"/>
    </xf>
    <xf numFmtId="0" fontId="0" fillId="28" borderId="8" xfId="0" applyFill="1" applyBorder="1" applyAlignment="1">
      <alignment horizontal="center" vertical="center"/>
    </xf>
    <xf numFmtId="41" fontId="6" fillId="4" borderId="2" xfId="1" applyNumberFormat="1" applyFont="1" applyFill="1" applyBorder="1" applyAlignment="1">
      <alignment vertical="center"/>
    </xf>
    <xf numFmtId="41" fontId="6" fillId="4" borderId="3" xfId="1" applyNumberFormat="1" applyFont="1" applyFill="1" applyBorder="1" applyAlignment="1">
      <alignment vertical="center"/>
    </xf>
    <xf numFmtId="41" fontId="6" fillId="4" borderId="7" xfId="1" applyNumberFormat="1" applyFont="1" applyFill="1" applyBorder="1" applyAlignment="1">
      <alignment vertical="center"/>
    </xf>
    <xf numFmtId="41" fontId="6" fillId="4" borderId="8" xfId="1" applyNumberFormat="1" applyFont="1" applyFill="1" applyBorder="1" applyAlignment="1">
      <alignment vertical="center"/>
    </xf>
    <xf numFmtId="41" fontId="6" fillId="4" borderId="4" xfId="1" applyNumberFormat="1" applyFont="1" applyFill="1" applyBorder="1" applyAlignment="1">
      <alignment vertical="center"/>
    </xf>
    <xf numFmtId="41" fontId="6" fillId="4" borderId="5" xfId="1" applyNumberFormat="1" applyFont="1" applyFill="1" applyBorder="1" applyAlignment="1">
      <alignment vertical="center"/>
    </xf>
    <xf numFmtId="0" fontId="0" fillId="18" borderId="7" xfId="0" applyFill="1" applyBorder="1" applyAlignment="1">
      <alignment vertical="top"/>
    </xf>
    <xf numFmtId="0" fontId="0" fillId="18" borderId="0" xfId="0" applyFill="1" applyBorder="1" applyAlignment="1">
      <alignment vertical="top"/>
    </xf>
    <xf numFmtId="0" fontId="0" fillId="18" borderId="8" xfId="0" applyFill="1" applyBorder="1" applyAlignment="1">
      <alignment vertical="top"/>
    </xf>
    <xf numFmtId="0" fontId="0" fillId="18" borderId="4" xfId="0" applyFill="1" applyBorder="1" applyAlignment="1">
      <alignment vertical="top"/>
    </xf>
    <xf numFmtId="0" fontId="0" fillId="18" borderId="9" xfId="0" applyFill="1" applyBorder="1" applyAlignment="1">
      <alignment vertical="top"/>
    </xf>
    <xf numFmtId="0" fontId="0" fillId="18" borderId="5" xfId="0" applyFill="1" applyBorder="1" applyAlignment="1">
      <alignment vertical="top"/>
    </xf>
    <xf numFmtId="0" fontId="0" fillId="0" borderId="0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3">
    <cellStyle name="一般" xfId="0" builtinId="0"/>
    <cellStyle name="百分比" xfId="2" builtinId="5"/>
    <cellStyle name="貨幣" xfId="1" builtinId="4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9" formatCode="0;0;;@"/>
    </dxf>
    <dxf>
      <numFmt numFmtId="179" formatCode="0;0;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</dxfs>
  <tableStyles count="0" defaultTableStyle="TableStyleMedium2" defaultPivotStyle="PivotStyleLight16"/>
  <colors>
    <mruColors>
      <color rgb="FFFF8173"/>
      <color rgb="FFA72217"/>
      <color rgb="FFF4F3D4"/>
      <color rgb="FFEFEBB8"/>
      <color rgb="FFEDF9C9"/>
      <color rgb="FFF4D3CF"/>
      <color rgb="FFA892FF"/>
      <color rgb="FFD0CBFD"/>
      <color rgb="FFBFB0FE"/>
      <color rgb="FFA28C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036204202118433E-2"/>
          <c:y val="0.11606482783302231"/>
          <c:w val="0.67831630213909966"/>
          <c:h val="0.818887914266000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053-FB4E-9AA6-CD4305E22326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0C69-0A48-ACA5-6E2E0EEB6935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C69-0A48-ACA5-6E2E0EEB6935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0C69-0A48-ACA5-6E2E0EEB6935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C69-0A48-ACA5-6E2E0EEB6935}"/>
              </c:ext>
            </c:extLst>
          </c:dPt>
          <c:dLbls>
            <c:dLbl>
              <c:idx val="1"/>
              <c:layout>
                <c:manualLayout>
                  <c:x val="8.6217225212710542E-3"/>
                  <c:y val="1.858687594263655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C69-0A48-ACA5-6E2E0EEB6935}"/>
                </c:ext>
              </c:extLst>
            </c:dLbl>
            <c:dLbl>
              <c:idx val="2"/>
              <c:layout>
                <c:manualLayout>
                  <c:x val="3.757987497829484E-2"/>
                  <c:y val="2.6438303637618548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C69-0A48-ACA5-6E2E0EEB6935}"/>
                </c:ext>
              </c:extLst>
            </c:dLbl>
            <c:dLbl>
              <c:idx val="3"/>
              <c:layout>
                <c:manualLayout>
                  <c:x val="2.846457718353881E-2"/>
                  <c:y val="2.2188706255272376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C69-0A48-ACA5-6E2E0EEB6935}"/>
                </c:ext>
              </c:extLst>
            </c:dLbl>
            <c:dLbl>
              <c:idx val="4"/>
              <c:layout>
                <c:manualLayout>
                  <c:x val="3.6831481159923594E-2"/>
                  <c:y val="3.5235052020757177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C69-0A48-ACA5-6E2E0EEB6935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月報表!$J$16:$J$21</c:f>
              <c:strCache>
                <c:ptCount val="6"/>
                <c:pt idx="0">
                  <c:v>綜合禮盒</c:v>
                </c:pt>
                <c:pt idx="1">
                  <c:v>原味禮盒</c:v>
                </c:pt>
                <c:pt idx="2">
                  <c:v>可可禮盒</c:v>
                </c:pt>
                <c:pt idx="3">
                  <c:v>伯爵禮盒</c:v>
                </c:pt>
                <c:pt idx="4">
                  <c:v>抹茶禮盒</c:v>
                </c:pt>
                <c:pt idx="5">
                  <c:v>原味單顆</c:v>
                </c:pt>
              </c:strCache>
            </c:strRef>
          </c:cat>
          <c:val>
            <c:numRef>
              <c:f>月報表!$L$16:$L$20</c:f>
              <c:numCache>
                <c:formatCode>General</c:formatCode>
                <c:ptCount val="5"/>
                <c:pt idx="0">
                  <c:v>231</c:v>
                </c:pt>
                <c:pt idx="1">
                  <c:v>12</c:v>
                </c:pt>
                <c:pt idx="2">
                  <c:v>7</c:v>
                </c:pt>
                <c:pt idx="3">
                  <c:v>10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9-0A48-ACA5-6E2E0EEB693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499479076228512"/>
          <c:y val="0.2391395485569672"/>
          <c:w val="0.27500520923771488"/>
          <c:h val="0.4762698432986528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6662483250288"/>
          <c:y val="6.5896075587441649E-2"/>
          <c:w val="0.62385725337571118"/>
          <c:h val="0.9164555768478794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A4B-D942-A8F4-FB621997AAF1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0C69-0A48-ACA5-6E2E0EEB6935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C69-0A48-ACA5-6E2E0EEB6935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0C69-0A48-ACA5-6E2E0EEB693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月報表!$J$21:$J$24</c:f>
              <c:strCache>
                <c:ptCount val="4"/>
                <c:pt idx="0">
                  <c:v>原味單顆</c:v>
                </c:pt>
                <c:pt idx="1">
                  <c:v>可可單顆</c:v>
                </c:pt>
                <c:pt idx="2">
                  <c:v>伯爵單顆</c:v>
                </c:pt>
                <c:pt idx="3">
                  <c:v>抹茶單顆</c:v>
                </c:pt>
              </c:strCache>
            </c:strRef>
          </c:cat>
          <c:val>
            <c:numRef>
              <c:f>月報表!$L$21:$L$24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9-0A48-ACA5-6E2E0EEB693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224543491066174"/>
          <c:y val="0.23166701015610397"/>
          <c:w val="0.25839230316120165"/>
          <c:h val="0.5124022900949519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售價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月報表!$J$16:$J$19</c:f>
              <c:strCache>
                <c:ptCount val="4"/>
                <c:pt idx="0">
                  <c:v>綜合禮盒</c:v>
                </c:pt>
                <c:pt idx="1">
                  <c:v>原味禮盒</c:v>
                </c:pt>
                <c:pt idx="2">
                  <c:v>可可禮盒</c:v>
                </c:pt>
                <c:pt idx="3">
                  <c:v>伯爵禮盒</c:v>
                </c:pt>
              </c:strCache>
            </c:strRef>
          </c:cat>
          <c:val>
            <c:numRef>
              <c:f>月報表!$M$16:$M$19</c:f>
              <c:numCache>
                <c:formatCode>General</c:formatCode>
                <c:ptCount val="4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C-634F-89C1-34CF2FF3420D}"/>
            </c:ext>
          </c:extLst>
        </c:ser>
        <c:ser>
          <c:idx val="1"/>
          <c:order val="1"/>
          <c:tx>
            <c:v>成本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月報表!$J$16:$J$19</c:f>
              <c:strCache>
                <c:ptCount val="4"/>
                <c:pt idx="0">
                  <c:v>綜合禮盒</c:v>
                </c:pt>
                <c:pt idx="1">
                  <c:v>原味禮盒</c:v>
                </c:pt>
                <c:pt idx="2">
                  <c:v>可可禮盒</c:v>
                </c:pt>
                <c:pt idx="3">
                  <c:v>伯爵禮盒</c:v>
                </c:pt>
              </c:strCache>
            </c:strRef>
          </c:cat>
          <c:val>
            <c:numRef>
              <c:f>月報表!$N$16:$N$19</c:f>
              <c:numCache>
                <c:formatCode>General</c:formatCode>
                <c:ptCount val="4"/>
                <c:pt idx="0">
                  <c:v>58.905000000000001</c:v>
                </c:pt>
                <c:pt idx="1">
                  <c:v>54.831000000000003</c:v>
                </c:pt>
                <c:pt idx="2">
                  <c:v>61.515000000000001</c:v>
                </c:pt>
                <c:pt idx="3">
                  <c:v>59.186999999999998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DC-634F-89C1-34CF2FF34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1184321696"/>
        <c:axId val="1240753280"/>
      </c:barChart>
      <c:lineChart>
        <c:grouping val="standard"/>
        <c:varyColors val="0"/>
        <c:ser>
          <c:idx val="3"/>
          <c:order val="2"/>
          <c:tx>
            <c:v>毛利率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月報表!$J$16:$J$19</c:f>
              <c:strCache>
                <c:ptCount val="4"/>
                <c:pt idx="0">
                  <c:v>綜合禮盒</c:v>
                </c:pt>
                <c:pt idx="1">
                  <c:v>原味禮盒</c:v>
                </c:pt>
                <c:pt idx="2">
                  <c:v>可可禮盒</c:v>
                </c:pt>
                <c:pt idx="3">
                  <c:v>伯爵禮盒</c:v>
                </c:pt>
              </c:strCache>
            </c:strRef>
          </c:cat>
          <c:val>
            <c:numRef>
              <c:f>月報表!$P$16:$P$19</c:f>
              <c:numCache>
                <c:formatCode>0.00%</c:formatCode>
                <c:ptCount val="4"/>
                <c:pt idx="0">
                  <c:v>0.83637500000000009</c:v>
                </c:pt>
                <c:pt idx="1">
                  <c:v>0.84769166666666662</c:v>
                </c:pt>
                <c:pt idx="2">
                  <c:v>0.829125</c:v>
                </c:pt>
                <c:pt idx="3">
                  <c:v>0.83559166666666662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DC-634F-89C1-34CF2FF34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820928"/>
        <c:axId val="1241097392"/>
      </c:lineChart>
      <c:catAx>
        <c:axId val="118432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40753280"/>
        <c:crosses val="autoZero"/>
        <c:auto val="1"/>
        <c:lblAlgn val="ctr"/>
        <c:lblOffset val="100"/>
        <c:noMultiLvlLbl val="0"/>
      </c:catAx>
      <c:valAx>
        <c:axId val="124075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84321696"/>
        <c:crosses val="autoZero"/>
        <c:crossBetween val="between"/>
      </c:valAx>
      <c:valAx>
        <c:axId val="124109739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40820928"/>
        <c:crosses val="max"/>
        <c:crossBetween val="between"/>
      </c:valAx>
      <c:catAx>
        <c:axId val="12408209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41097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69908984806373"/>
          <c:y val="0.1158888802215375"/>
          <c:w val="0.54554893574942531"/>
          <c:h val="0.8176839970357658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586-3C4E-A551-1E476844454F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17A-E841-BFCA-883258EC1AC9}"/>
              </c:ext>
            </c:extLst>
          </c:dPt>
          <c:dLbls>
            <c:dLbl>
              <c:idx val="1"/>
              <c:layout>
                <c:manualLayout>
                  <c:x val="1.04593996973596E-2"/>
                  <c:y val="3.625765790492418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7A-E841-BFCA-883258EC1AC9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月報表!$S$16:$S$17</c:f>
              <c:strCache>
                <c:ptCount val="2"/>
                <c:pt idx="0">
                  <c:v>禮盒</c:v>
                </c:pt>
                <c:pt idx="1">
                  <c:v>單售</c:v>
                </c:pt>
              </c:strCache>
            </c:strRef>
          </c:cat>
          <c:val>
            <c:numRef>
              <c:f>月報表!$T$16:$T$17</c:f>
              <c:numCache>
                <c:formatCode>General</c:formatCode>
                <c:ptCount val="2"/>
                <c:pt idx="0">
                  <c:v>264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A-E841-BFCA-883258EC1AC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277491665227384"/>
          <c:y val="0.40426152119404923"/>
          <c:w val="0.1411751968503937"/>
          <c:h val="0.2080976170252856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售價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月報表!$J$21:$J$24</c:f>
              <c:strCache>
                <c:ptCount val="4"/>
                <c:pt idx="0">
                  <c:v>原味單顆</c:v>
                </c:pt>
                <c:pt idx="1">
                  <c:v>可可單顆</c:v>
                </c:pt>
                <c:pt idx="2">
                  <c:v>伯爵單顆</c:v>
                </c:pt>
                <c:pt idx="3">
                  <c:v>抹茶單顆</c:v>
                </c:pt>
              </c:strCache>
            </c:strRef>
          </c:cat>
          <c:val>
            <c:numRef>
              <c:f>月報表!$M$21:$M$24</c:f>
              <c:numCache>
                <c:formatCode>General</c:formatCode>
                <c:ptCount val="4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C-634F-89C1-34CF2FF3420D}"/>
            </c:ext>
          </c:extLst>
        </c:ser>
        <c:ser>
          <c:idx val="1"/>
          <c:order val="1"/>
          <c:tx>
            <c:v>成本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月報表!$J$21:$J$24</c:f>
              <c:strCache>
                <c:ptCount val="4"/>
                <c:pt idx="0">
                  <c:v>原味單顆</c:v>
                </c:pt>
                <c:pt idx="1">
                  <c:v>可可單顆</c:v>
                </c:pt>
                <c:pt idx="2">
                  <c:v>伯爵單顆</c:v>
                </c:pt>
                <c:pt idx="3">
                  <c:v>抹茶單顆</c:v>
                </c:pt>
              </c:strCache>
            </c:strRef>
          </c:cat>
          <c:val>
            <c:numRef>
              <c:f>月報表!$N$21:$N$24</c:f>
              <c:numCache>
                <c:formatCode>General</c:formatCode>
                <c:ptCount val="4"/>
                <c:pt idx="0">
                  <c:v>11.352</c:v>
                </c:pt>
                <c:pt idx="1">
                  <c:v>13.023</c:v>
                </c:pt>
                <c:pt idx="2">
                  <c:v>12.440999999999999</c:v>
                </c:pt>
                <c:pt idx="3">
                  <c:v>12.666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DC-634F-89C1-34CF2FF34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1184321696"/>
        <c:axId val="1240753280"/>
      </c:barChart>
      <c:lineChart>
        <c:grouping val="standard"/>
        <c:varyColors val="0"/>
        <c:ser>
          <c:idx val="3"/>
          <c:order val="2"/>
          <c:tx>
            <c:v>毛利率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月報表!$J$21:$J$24</c:f>
              <c:strCache>
                <c:ptCount val="4"/>
                <c:pt idx="0">
                  <c:v>原味單顆</c:v>
                </c:pt>
                <c:pt idx="1">
                  <c:v>可可單顆</c:v>
                </c:pt>
                <c:pt idx="2">
                  <c:v>伯爵單顆</c:v>
                </c:pt>
                <c:pt idx="3">
                  <c:v>抹茶單顆</c:v>
                </c:pt>
              </c:strCache>
            </c:strRef>
          </c:cat>
          <c:val>
            <c:numRef>
              <c:f>月報表!$P$21:$P$24</c:f>
              <c:numCache>
                <c:formatCode>0.00%</c:formatCode>
                <c:ptCount val="4"/>
                <c:pt idx="0">
                  <c:v>0.87386666666666657</c:v>
                </c:pt>
                <c:pt idx="1">
                  <c:v>0.85530000000000006</c:v>
                </c:pt>
                <c:pt idx="2">
                  <c:v>0.86176666666666668</c:v>
                </c:pt>
                <c:pt idx="3">
                  <c:v>0.85926666666666673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DC-634F-89C1-34CF2FF34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820928"/>
        <c:axId val="1241097392"/>
      </c:lineChart>
      <c:catAx>
        <c:axId val="118432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40753280"/>
        <c:crosses val="autoZero"/>
        <c:auto val="1"/>
        <c:lblAlgn val="ctr"/>
        <c:lblOffset val="100"/>
        <c:noMultiLvlLbl val="0"/>
      </c:catAx>
      <c:valAx>
        <c:axId val="124075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84321696"/>
        <c:crosses val="autoZero"/>
        <c:crossBetween val="between"/>
      </c:valAx>
      <c:valAx>
        <c:axId val="124109739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40820928"/>
        <c:crosses val="max"/>
        <c:crossBetween val="between"/>
      </c:valAx>
      <c:catAx>
        <c:axId val="12408209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41097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月報表!$J$58:$J$64</c:f>
              <c:strCache>
                <c:ptCount val="7"/>
                <c:pt idx="0">
                  <c:v>原味</c:v>
                </c:pt>
                <c:pt idx="2">
                  <c:v>可可</c:v>
                </c:pt>
                <c:pt idx="4">
                  <c:v>伯爵</c:v>
                </c:pt>
                <c:pt idx="6">
                  <c:v>抹茶</c:v>
                </c:pt>
              </c:strCache>
            </c:strRef>
          </c:cat>
          <c:val>
            <c:numRef>
              <c:f>月報表!$K$58:$K$64</c:f>
              <c:numCache>
                <c:formatCode>General</c:formatCode>
                <c:ptCount val="7"/>
                <c:pt idx="0">
                  <c:v>17</c:v>
                </c:pt>
                <c:pt idx="2">
                  <c:v>20</c:v>
                </c:pt>
                <c:pt idx="4">
                  <c:v>7</c:v>
                </c:pt>
                <c:pt idx="6">
                  <c:v>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6DA-F84A-BE98-6113929CDCDC}"/>
            </c:ext>
          </c:extLst>
        </c:ser>
        <c:ser>
          <c:idx val="1"/>
          <c:order val="1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月報表!$J$58:$J$64</c:f>
              <c:strCache>
                <c:ptCount val="7"/>
                <c:pt idx="0">
                  <c:v>原味</c:v>
                </c:pt>
                <c:pt idx="2">
                  <c:v>可可</c:v>
                </c:pt>
                <c:pt idx="4">
                  <c:v>伯爵</c:v>
                </c:pt>
                <c:pt idx="6">
                  <c:v>抹茶</c:v>
                </c:pt>
              </c:strCache>
            </c:strRef>
          </c:cat>
          <c:val>
            <c:numRef>
              <c:f>月報表!$L$58:$L$64</c:f>
              <c:numCache>
                <c:formatCode>General</c:formatCode>
                <c:ptCount val="7"/>
                <c:pt idx="0">
                  <c:v>41</c:v>
                </c:pt>
                <c:pt idx="2">
                  <c:v>7</c:v>
                </c:pt>
                <c:pt idx="4">
                  <c:v>18</c:v>
                </c:pt>
                <c:pt idx="6">
                  <c:v>24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6DA-F84A-BE98-6113929CDCDC}"/>
            </c:ext>
          </c:extLst>
        </c:ser>
        <c:ser>
          <c:idx val="2"/>
          <c:order val="2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月報表!$J$58:$J$64</c:f>
              <c:strCache>
                <c:ptCount val="7"/>
                <c:pt idx="0">
                  <c:v>原味</c:v>
                </c:pt>
                <c:pt idx="2">
                  <c:v>可可</c:v>
                </c:pt>
                <c:pt idx="4">
                  <c:v>伯爵</c:v>
                </c:pt>
                <c:pt idx="6">
                  <c:v>抹茶</c:v>
                </c:pt>
              </c:strCache>
            </c:strRef>
          </c:cat>
          <c:val>
            <c:numRef>
              <c:f>月報表!$M$58:$M$64</c:f>
              <c:numCache>
                <c:formatCode>General</c:formatCode>
                <c:ptCount val="7"/>
                <c:pt idx="0">
                  <c:v>0</c:v>
                </c:pt>
                <c:pt idx="2">
                  <c:v>0</c:v>
                </c:pt>
                <c:pt idx="4">
                  <c:v>2</c:v>
                </c:pt>
                <c:pt idx="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D6DA-F84A-BE98-6113929CDCDC}"/>
            </c:ext>
          </c:extLst>
        </c:ser>
        <c:ser>
          <c:idx val="3"/>
          <c:order val="3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月報表!$J$58:$J$64</c:f>
              <c:strCache>
                <c:ptCount val="7"/>
                <c:pt idx="0">
                  <c:v>原味</c:v>
                </c:pt>
                <c:pt idx="2">
                  <c:v>可可</c:v>
                </c:pt>
                <c:pt idx="4">
                  <c:v>伯爵</c:v>
                </c:pt>
                <c:pt idx="6">
                  <c:v>抹茶</c:v>
                </c:pt>
              </c:strCache>
            </c:strRef>
          </c:cat>
          <c:val>
            <c:numRef>
              <c:f>月報表!$N$58:$N$64</c:f>
              <c:numCache>
                <c:formatCode>General</c:formatCode>
                <c:ptCount val="7"/>
                <c:pt idx="0">
                  <c:v>6</c:v>
                </c:pt>
                <c:pt idx="2">
                  <c:v>5</c:v>
                </c:pt>
                <c:pt idx="4">
                  <c:v>7</c:v>
                </c:pt>
                <c:pt idx="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D6DA-F84A-BE98-6113929CD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5593424"/>
        <c:axId val="1494352720"/>
      </c:barChart>
      <c:catAx>
        <c:axId val="1535593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94352720"/>
        <c:crosses val="autoZero"/>
        <c:auto val="1"/>
        <c:lblAlgn val="ctr"/>
        <c:lblOffset val="100"/>
        <c:noMultiLvlLbl val="0"/>
      </c:catAx>
      <c:valAx>
        <c:axId val="149435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3559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828500845953935E-2"/>
          <c:y val="7.7999926299282235E-2"/>
          <c:w val="0.82063547570557882"/>
          <c:h val="0.5598620431749723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月報表!$J$73:$J$76</c:f>
              <c:strCache>
                <c:ptCount val="4"/>
                <c:pt idx="0">
                  <c:v>原味</c:v>
                </c:pt>
                <c:pt idx="1">
                  <c:v>可可</c:v>
                </c:pt>
                <c:pt idx="2">
                  <c:v>伯爵</c:v>
                </c:pt>
                <c:pt idx="3">
                  <c:v>抹茶</c:v>
                </c:pt>
              </c:strCache>
            </c:strRef>
          </c:cat>
          <c:val>
            <c:numRef>
              <c:f>月報表!$K$73:$K$76</c:f>
              <c:numCache>
                <c:formatCode>General</c:formatCode>
                <c:ptCount val="4"/>
                <c:pt idx="0">
                  <c:v>347</c:v>
                </c:pt>
                <c:pt idx="1">
                  <c:v>298</c:v>
                </c:pt>
                <c:pt idx="2">
                  <c:v>314</c:v>
                </c:pt>
                <c:pt idx="3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D-2149-A47F-01886CF13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5170112"/>
        <c:axId val="1864614128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月報表!$J$73:$J$76</c:f>
              <c:strCache>
                <c:ptCount val="4"/>
                <c:pt idx="0">
                  <c:v>原味</c:v>
                </c:pt>
                <c:pt idx="1">
                  <c:v>可可</c:v>
                </c:pt>
                <c:pt idx="2">
                  <c:v>伯爵</c:v>
                </c:pt>
                <c:pt idx="3">
                  <c:v>抹茶</c:v>
                </c:pt>
              </c:strCache>
            </c:strRef>
          </c:cat>
          <c:val>
            <c:numRef>
              <c:f>月報表!$M$73:$M$76</c:f>
              <c:numCache>
                <c:formatCode>0%</c:formatCode>
                <c:ptCount val="4"/>
                <c:pt idx="0">
                  <c:v>0.11815561959654179</c:v>
                </c:pt>
                <c:pt idx="1">
                  <c:v>2.3489932885906041E-2</c:v>
                </c:pt>
                <c:pt idx="2">
                  <c:v>5.7324840764331211E-2</c:v>
                </c:pt>
                <c:pt idx="3">
                  <c:v>8.3044982698961933E-2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6D-2149-A47F-01886CF13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012992"/>
        <c:axId val="1865137392"/>
      </c:lineChart>
      <c:catAx>
        <c:axId val="153517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64614128"/>
        <c:crosses val="autoZero"/>
        <c:auto val="1"/>
        <c:lblAlgn val="ctr"/>
        <c:lblOffset val="100"/>
        <c:noMultiLvlLbl val="0"/>
      </c:catAx>
      <c:valAx>
        <c:axId val="186461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35170112"/>
        <c:crosses val="autoZero"/>
        <c:crossBetween val="between"/>
      </c:valAx>
      <c:valAx>
        <c:axId val="186513739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65012992"/>
        <c:crosses val="max"/>
        <c:crossBetween val="between"/>
      </c:valAx>
      <c:catAx>
        <c:axId val="1865012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65137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775675642638569"/>
          <c:y val="0.77492960899039576"/>
          <c:w val="0.34069500294085875"/>
          <c:h val="0.144394415138998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689448977384252"/>
          <c:y val="0.31209178565060552"/>
          <c:w val="0.4076037996823435"/>
          <c:h val="0.5818608203162611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D97-A647-A937-EE920B314F9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D97-A647-A937-EE920B314F9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D97-A647-A937-EE920B314F99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D97-A647-A937-EE920B314F99}"/>
              </c:ext>
            </c:extLst>
          </c:dPt>
          <c:dLbls>
            <c:dLbl>
              <c:idx val="0"/>
              <c:layout>
                <c:manualLayout>
                  <c:x val="5.0056735346142543E-2"/>
                  <c:y val="4.354743584468309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97-A647-A937-EE920B314F99}"/>
                </c:ext>
              </c:extLst>
            </c:dLbl>
            <c:dLbl>
              <c:idx val="1"/>
              <c:layout>
                <c:manualLayout>
                  <c:x val="-8.8007010570598607E-2"/>
                  <c:y val="-0.1493793633159144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97-A647-A937-EE920B314F99}"/>
                </c:ext>
              </c:extLst>
            </c:dLbl>
            <c:dLbl>
              <c:idx val="2"/>
              <c:layout>
                <c:manualLayout>
                  <c:x val="-0.17797950345295127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96702167679991"/>
                      <c:h val="0.2457385233647423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9D97-A647-A937-EE920B314F99}"/>
                </c:ext>
              </c:extLst>
            </c:dLbl>
            <c:dLbl>
              <c:idx val="3"/>
              <c:layout>
                <c:manualLayout>
                  <c:x val="4.1870729247366546E-2"/>
                  <c:y val="4.397845259158677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14939017700004"/>
                      <c:h val="0.2551700292558966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97-A647-A937-EE920B314F99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月報表!$K$57:$N$57</c:f>
              <c:strCache>
                <c:ptCount val="4"/>
                <c:pt idx="0">
                  <c:v>人為</c:v>
                </c:pt>
                <c:pt idx="1">
                  <c:v>技術</c:v>
                </c:pt>
                <c:pt idx="2">
                  <c:v>過期</c:v>
                </c:pt>
                <c:pt idx="3">
                  <c:v>吃掉</c:v>
                </c:pt>
              </c:strCache>
            </c:strRef>
          </c:cat>
          <c:val>
            <c:numRef>
              <c:f>月報表!$K$66:$N$66</c:f>
              <c:numCache>
                <c:formatCode>General</c:formatCode>
                <c:ptCount val="4"/>
                <c:pt idx="0">
                  <c:v>51</c:v>
                </c:pt>
                <c:pt idx="1">
                  <c:v>90</c:v>
                </c:pt>
                <c:pt idx="2">
                  <c:v>2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7-A647-A937-EE920B314F9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90714</xdr:colOff>
      <xdr:row>27</xdr:row>
      <xdr:rowOff>42484</xdr:rowOff>
    </xdr:from>
    <xdr:to>
      <xdr:col>11</xdr:col>
      <xdr:colOff>748394</xdr:colOff>
      <xdr:row>37</xdr:row>
      <xdr:rowOff>68034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352B008A-C1CF-AF48-A3E9-2D745C3EC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680933</xdr:colOff>
      <xdr:row>27</xdr:row>
      <xdr:rowOff>46539</xdr:rowOff>
    </xdr:from>
    <xdr:to>
      <xdr:col>15</xdr:col>
      <xdr:colOff>18415</xdr:colOff>
      <xdr:row>37</xdr:row>
      <xdr:rowOff>87587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6B5EFD02-D5FA-734D-AC20-57627B566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72568</xdr:colOff>
      <xdr:row>41</xdr:row>
      <xdr:rowOff>45356</xdr:rowOff>
    </xdr:from>
    <xdr:to>
      <xdr:col>13</xdr:col>
      <xdr:colOff>283481</xdr:colOff>
      <xdr:row>52</xdr:row>
      <xdr:rowOff>192767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78C29A26-B826-6F42-97F0-399947B49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399052</xdr:colOff>
      <xdr:row>26</xdr:row>
      <xdr:rowOff>167731</xdr:rowOff>
    </xdr:from>
    <xdr:to>
      <xdr:col>18</xdr:col>
      <xdr:colOff>145052</xdr:colOff>
      <xdr:row>37</xdr:row>
      <xdr:rowOff>131380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F117C505-994F-E740-ABA6-6B8E2219F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396875</xdr:colOff>
      <xdr:row>40</xdr:row>
      <xdr:rowOff>170088</xdr:rowOff>
    </xdr:from>
    <xdr:to>
      <xdr:col>17</xdr:col>
      <xdr:colOff>827767</xdr:colOff>
      <xdr:row>52</xdr:row>
      <xdr:rowOff>170089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93E14D0B-0625-C046-BB3B-89BB8D9D1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817880</xdr:colOff>
      <xdr:row>53</xdr:row>
      <xdr:rowOff>121921</xdr:rowOff>
    </xdr:from>
    <xdr:to>
      <xdr:col>18</xdr:col>
      <xdr:colOff>60960</xdr:colOff>
      <xdr:row>61</xdr:row>
      <xdr:rowOff>130735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635C9148-C302-D340-A749-7AC48DA65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787551</xdr:colOff>
      <xdr:row>69</xdr:row>
      <xdr:rowOff>15029</xdr:rowOff>
    </xdr:from>
    <xdr:to>
      <xdr:col>18</xdr:col>
      <xdr:colOff>1</xdr:colOff>
      <xdr:row>76</xdr:row>
      <xdr:rowOff>165326</xdr:rowOff>
    </xdr:to>
    <xdr:graphicFrame macro="">
      <xdr:nvGraphicFramePr>
        <xdr:cNvPr id="15" name="圖表 14">
          <a:extLst>
            <a:ext uri="{FF2B5EF4-FFF2-40B4-BE49-F238E27FC236}">
              <a16:creationId xmlns:a16="http://schemas.microsoft.com/office/drawing/2014/main" id="{222A303B-7ED7-8F46-832F-1BB55FEF8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37354</xdr:colOff>
      <xdr:row>60</xdr:row>
      <xdr:rowOff>18677</xdr:rowOff>
    </xdr:from>
    <xdr:to>
      <xdr:col>17</xdr:col>
      <xdr:colOff>672354</xdr:colOff>
      <xdr:row>67</xdr:row>
      <xdr:rowOff>134285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B9BFB535-167C-3644-A323-D38BAAAF8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uyiting/Desktop/&#65332;&#65313;&#65321;&#65316;&#65333;/&#24907;&#24230;&#25104;&#264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食材資料庫"/>
      <sheetName val="半成品資料庫"/>
      <sheetName val="半成品成本計算"/>
      <sheetName val="工作表2"/>
      <sheetName val="可麗露"/>
    </sheetNames>
    <sheetDataSet>
      <sheetData sheetId="0"/>
      <sheetData sheetId="1"/>
      <sheetData sheetId="2"/>
      <sheetData sheetId="3"/>
      <sheetData sheetId="4">
        <row r="8">
          <cell r="L8">
            <v>9.7520000000000007</v>
          </cell>
          <cell r="M8">
            <v>11.423</v>
          </cell>
          <cell r="N8">
            <v>10.840999999999999</v>
          </cell>
        </row>
        <row r="10">
          <cell r="M10">
            <v>11.066000000000001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0A054F-593B-B74F-882F-52B22AB1C8DB}" name="表格1_3" displayName="表格1_3" ref="A7:P101" totalsRowShown="0">
  <autoFilter ref="A7:P101" xr:uid="{C2F20F01-9FAC-4842-9173-BF61F68B3662}"/>
  <tableColumns count="16">
    <tableColumn id="1" xr3:uid="{CD1F2722-FB82-A240-9B65-EA445066BA96}" name="購買人"/>
    <tableColumn id="2" xr3:uid="{51EE9705-8BB2-EB47-A0C8-A383986E58C1}" name="綜合"/>
    <tableColumn id="3" xr3:uid="{881FB90F-F2A9-5E44-9B8C-DF88054A1910}" name="原味"/>
    <tableColumn id="4" xr3:uid="{9B02302D-DB7F-104A-AC24-95F71CA21B09}" name="可可"/>
    <tableColumn id="5" xr3:uid="{84292ABE-CB9B-4142-AA26-587FA546815A}" name="伯爵"/>
    <tableColumn id="6" xr3:uid="{B15BC688-0B99-D04A-80A2-AAA217D8A747}" name="抹茶"/>
    <tableColumn id="7" xr3:uid="{B90AE4DB-9267-2E4F-BC3D-C943387E7165}" name="原味."/>
    <tableColumn id="8" xr3:uid="{5B47B6AB-C22E-274A-A257-0C2CF960E983}" name="可可."/>
    <tableColumn id="9" xr3:uid="{426E5B4D-23F7-3F4B-A3BC-FCEC464E9DBD}" name="伯爵."/>
    <tableColumn id="10" xr3:uid="{487CD55B-F01B-4443-B57A-AED0D678FD7B}" name="抹茶."/>
    <tableColumn id="11" xr3:uid="{59086D7E-BF63-274D-BEF1-1E01847C2DA7}" name="金額" dataDxfId="31">
      <calculatedColumnFormula>SUM(SUM(B8:F8)*360,SUM(G8:J8)*90)</calculatedColumnFormula>
    </tableColumn>
    <tableColumn id="12" xr3:uid="{A3718A62-1431-D24A-A90B-21D3C1A1333B}" name="運費"/>
    <tableColumn id="13" xr3:uid="{83B3414E-E1D2-E44D-A773-AD6A7CA0FC97}" name="折讓金額"/>
    <tableColumn id="14" xr3:uid="{8D07D5DE-A66A-DE48-B075-0E00A3E78ECE}" name="實收金額">
      <calculatedColumnFormula>K8+L8-M8</calculatedColumnFormula>
    </tableColumn>
    <tableColumn id="16" xr3:uid="{FBBE1DA7-E5EB-6D4E-ACBB-A956CA4AE4A3}" name="欄1"/>
    <tableColumn id="15" xr3:uid="{5E8B17A6-2034-224C-86CC-A20934E28796}" name="備註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E71BFB27-5513-6E4E-BE73-14050F9407AD}" name="表格1_33479" displayName="表格1_33479" ref="A7:P101" totalsRowShown="0">
  <autoFilter ref="A7:P101" xr:uid="{C2F20F01-9FAC-4842-9173-BF61F68B3662}"/>
  <tableColumns count="16">
    <tableColumn id="1" xr3:uid="{98E979ED-6607-7A49-8FED-0A3030CE4C7F}" name="購買人"/>
    <tableColumn id="2" xr3:uid="{C8AB2A6B-1185-EE44-8696-93FF906795CA}" name="綜合"/>
    <tableColumn id="3" xr3:uid="{00DF183A-2E54-D64F-913D-D57309B4E21F}" name="原味"/>
    <tableColumn id="4" xr3:uid="{3FB5A69D-ABC0-7543-969E-45DCE2A4C335}" name="可可"/>
    <tableColumn id="5" xr3:uid="{12795663-9009-BD46-B7DC-09924DB2083A}" name="伯爵"/>
    <tableColumn id="6" xr3:uid="{A7E30D34-7C9D-D149-8E2E-8BC405FC783B}" name="抹茶"/>
    <tableColumn id="7" xr3:uid="{C8CDA74D-A407-E34D-B92A-A037D7D77125}" name="原味."/>
    <tableColumn id="8" xr3:uid="{4ACBF279-BFE1-0841-A3E7-26E72E93E220}" name="可可."/>
    <tableColumn id="9" xr3:uid="{2F3D9599-4E25-EA40-8525-B016463A2EF4}" name="伯爵."/>
    <tableColumn id="10" xr3:uid="{9CEC73B1-99F9-E041-B782-3C5F3E5A0015}" name="抹茶."/>
    <tableColumn id="11" xr3:uid="{F7EDFFCE-5B0B-BA45-BEC4-37CFB14CC775}" name="金額" dataDxfId="30">
      <calculatedColumnFormula>SUM(SUM(B8:F8)*360,SUM(G8:J8)*90)</calculatedColumnFormula>
    </tableColumn>
    <tableColumn id="12" xr3:uid="{75C9BFF2-6941-C548-B897-A32BFFAE5A80}" name="運費"/>
    <tableColumn id="13" xr3:uid="{19C6A100-4FF8-2E4E-BE32-A6539C6B3DFE}" name="折讓金額"/>
    <tableColumn id="14" xr3:uid="{4EC28784-4759-4C4B-9A31-EF745BDDE55B}" name="實收金額">
      <calculatedColumnFormula>K8+L8-M8</calculatedColumnFormula>
    </tableColumn>
    <tableColumn id="16" xr3:uid="{A25C1B95-24FA-8E47-AA36-9CCB9039807A}" name="欄1"/>
    <tableColumn id="15" xr3:uid="{D1D50DBB-0D26-114B-9166-02396F005A76}" name="備註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56ADB73-355F-3F45-AD4B-432DDF53D711}" name="表格1_334" displayName="表格1_334" ref="A7:P101" totalsRowShown="0">
  <autoFilter ref="A7:P101" xr:uid="{C2F20F01-9FAC-4842-9173-BF61F68B3662}"/>
  <tableColumns count="16">
    <tableColumn id="1" xr3:uid="{B30180C1-2732-6A4E-B587-7065FEA57708}" name="購買人"/>
    <tableColumn id="2" xr3:uid="{9960FB2A-8D81-864F-B5DC-A3E431B40226}" name="綜合"/>
    <tableColumn id="3" xr3:uid="{0B7A685C-54AB-644E-8148-D35D9D01252E}" name="原味"/>
    <tableColumn id="4" xr3:uid="{8B939FBB-C601-BB44-A26A-1504880EBD58}" name="可可"/>
    <tableColumn id="5" xr3:uid="{4F51DC5C-CCC2-5B40-A014-2642A57F713C}" name="伯爵"/>
    <tableColumn id="6" xr3:uid="{7D680347-887D-9D41-8403-EDF38A576E98}" name="抹茶"/>
    <tableColumn id="7" xr3:uid="{8696B3CF-AC15-2047-B194-973D0E35CCFD}" name="原味."/>
    <tableColumn id="8" xr3:uid="{CB976917-FA9E-E142-BE77-04E95FCD3B3B}" name="可可."/>
    <tableColumn id="9" xr3:uid="{6A0DBD34-0A58-544D-9D28-B2F3D3FB0CC1}" name="伯爵."/>
    <tableColumn id="10" xr3:uid="{D8DD367A-E5A9-C942-9422-5C240A9E9466}" name="抹茶."/>
    <tableColumn id="11" xr3:uid="{31E0CFC8-CB09-6C41-A51C-59FDA8C3BBC1}" name="金額" dataDxfId="29">
      <calculatedColumnFormula>SUM(SUM(B8:F8)*360,SUM(G8:J8)*90)</calculatedColumnFormula>
    </tableColumn>
    <tableColumn id="12" xr3:uid="{647D99DB-5F74-464D-A3F0-E604A3E38B5B}" name="運費"/>
    <tableColumn id="13" xr3:uid="{CC6E297D-C570-154B-8041-C62CE827A0FC}" name="折讓金額"/>
    <tableColumn id="14" xr3:uid="{73F7CF3F-2099-CE4A-8FA3-4E304357CBE2}" name="實收金額">
      <calculatedColumnFormula>K8+L8-M8</calculatedColumnFormula>
    </tableColumn>
    <tableColumn id="16" xr3:uid="{4A15DF8A-F6BA-164E-811D-9B0AA97672DA}" name="欄1"/>
    <tableColumn id="15" xr3:uid="{5A8717B9-24DD-F44F-9908-26A42B5B18B7}" name="備註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8A586989-4EF2-2A4C-AA36-6181075260D0}" name="表格1_33451" displayName="表格1_33451" ref="A7:P101" totalsRowShown="0">
  <autoFilter ref="A7:P101" xr:uid="{C2F20F01-9FAC-4842-9173-BF61F68B3662}"/>
  <tableColumns count="16">
    <tableColumn id="1" xr3:uid="{56B0C470-C7A2-BF4B-A418-4B378411402B}" name="購買人"/>
    <tableColumn id="2" xr3:uid="{0D6F4EAB-F28D-2B48-8982-3319919AABF2}" name="綜合"/>
    <tableColumn id="3" xr3:uid="{7CE7B50E-3C7E-C74F-88C2-F67680B20896}" name="原味"/>
    <tableColumn id="4" xr3:uid="{4A5A0A3A-0D66-4046-9D73-9EB34CDCDE82}" name="可可"/>
    <tableColumn id="5" xr3:uid="{68BB605D-95B3-8847-90C5-BE5A1A8FE2FE}" name="伯爵"/>
    <tableColumn id="6" xr3:uid="{A9AE60F4-AC5A-D242-8AAB-BC876AEAB11A}" name="抹茶"/>
    <tableColumn id="7" xr3:uid="{EAB710FD-6EE9-504A-8E10-67B1B598E3F1}" name="原味."/>
    <tableColumn id="8" xr3:uid="{7ECCE1B8-3EF0-4F41-A98E-15B542C48917}" name="可可."/>
    <tableColumn id="9" xr3:uid="{4CEAD359-594E-D847-B15D-AEC4C88A2A85}" name="伯爵."/>
    <tableColumn id="10" xr3:uid="{245305B1-67EB-1B40-9B5F-4A7D9D538D58}" name="抹茶."/>
    <tableColumn id="11" xr3:uid="{3AE0601D-E14C-6544-91FF-20FAF23B46B4}" name="金額" dataDxfId="28">
      <calculatedColumnFormula>SUM(SUM(B8:F8)*360,SUM(G8:J8)*90)</calculatedColumnFormula>
    </tableColumn>
    <tableColumn id="12" xr3:uid="{6430EA60-C857-BF42-9B5E-D2C8E43E3AF4}" name="運費"/>
    <tableColumn id="13" xr3:uid="{2D4037C3-8FA5-AE42-B815-BC16FBE1A60D}" name="折讓金額"/>
    <tableColumn id="14" xr3:uid="{E8EE5800-0B57-E343-82C7-F8089D3490E7}" name="實收金額">
      <calculatedColumnFormula>K8+L8-M8</calculatedColumnFormula>
    </tableColumn>
    <tableColumn id="16" xr3:uid="{5AB66B8E-6B97-DD4B-9467-5319C871C053}" name="欄1"/>
    <tableColumn id="15" xr3:uid="{74A2C58A-3A8F-F443-A988-ABCD1EDE4762}" name="備註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3D39FC8-E70B-DB49-85A9-B4ECEC772C69}" name="表格1_3345152" displayName="表格1_3345152" ref="A7:P101" totalsRowShown="0">
  <autoFilter ref="A7:P101" xr:uid="{C2F20F01-9FAC-4842-9173-BF61F68B3662}"/>
  <tableColumns count="16">
    <tableColumn id="1" xr3:uid="{336C7231-F439-A540-BE79-B8B8654CD847}" name="購買人"/>
    <tableColumn id="2" xr3:uid="{BF1F3434-A61B-9841-9C0D-5CF02EFC4BCB}" name="綜合"/>
    <tableColumn id="3" xr3:uid="{590844C4-57B5-154A-A415-04EA11279561}" name="原味"/>
    <tableColumn id="4" xr3:uid="{233AC5BC-E924-7144-A06F-C98DA15BAFCB}" name="可可"/>
    <tableColumn id="5" xr3:uid="{96265602-38C3-B245-8C75-DCA669472110}" name="伯爵"/>
    <tableColumn id="6" xr3:uid="{C3C2F78B-D41D-194A-A384-4E1A8ADF54E4}" name="抹茶"/>
    <tableColumn id="7" xr3:uid="{365A1FEB-5821-7844-955F-66A65601AC5D}" name="原味."/>
    <tableColumn id="8" xr3:uid="{7E2C70C3-B394-C045-A355-FBEBF1C6AEA7}" name="可可."/>
    <tableColumn id="9" xr3:uid="{0C0BED55-119B-6E47-AE3C-8A5AA72B494F}" name="伯爵."/>
    <tableColumn id="10" xr3:uid="{9334DE69-D51B-B642-B274-FE7A36A13459}" name="抹茶."/>
    <tableColumn id="11" xr3:uid="{CD21C3CA-1820-C447-BF5D-FAB75F1B2A9C}" name="金額" dataDxfId="27">
      <calculatedColumnFormula>SUM(SUM(B8:F8)*360,SUM(G8:J8)*90)</calculatedColumnFormula>
    </tableColumn>
    <tableColumn id="12" xr3:uid="{043389CE-B8F4-FC4D-B853-8561B1DB2B6E}" name="運費"/>
    <tableColumn id="13" xr3:uid="{869D8690-9A7B-164B-BEE3-339578A1255F}" name="折讓金額"/>
    <tableColumn id="14" xr3:uid="{5C060893-337F-AC45-A383-41404BA70C2C}" name="實收金額">
      <calculatedColumnFormula>K8+L8-M8</calculatedColumnFormula>
    </tableColumn>
    <tableColumn id="16" xr3:uid="{27CAD1BA-CCE1-8746-88F4-E692529F01C2}" name="欄1"/>
    <tableColumn id="15" xr3:uid="{087CC0BB-FBEB-3741-8E67-8BCA3A13763F}" name="備註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14AA06F2-742F-6E48-8F25-51CADF03D14A}" name="表格1_334515253" displayName="表格1_334515253" ref="A7:P101" totalsRowShown="0">
  <autoFilter ref="A7:P101" xr:uid="{C2F20F01-9FAC-4842-9173-BF61F68B3662}"/>
  <tableColumns count="16">
    <tableColumn id="1" xr3:uid="{705068CE-FD9D-CE4D-9FFD-6E2CF1CF4E9A}" name="購買人"/>
    <tableColumn id="2" xr3:uid="{2F7C066C-B598-214E-A842-341F55A2753D}" name="綜合"/>
    <tableColumn id="3" xr3:uid="{80A0A468-9C95-0F4E-9736-22F80B39E8BA}" name="原味"/>
    <tableColumn id="4" xr3:uid="{B6430F52-2080-2345-9EE4-7FE192F29A6C}" name="可可"/>
    <tableColumn id="5" xr3:uid="{B5B1A78C-5E04-1E44-A8D0-0A30ADA990AC}" name="伯爵"/>
    <tableColumn id="6" xr3:uid="{D1CBEDE3-E0FA-0A4D-A4F6-8929CB1574FA}" name="抹茶"/>
    <tableColumn id="7" xr3:uid="{78C49CC6-2A06-C745-999A-1D4E93ED1B62}" name="原味."/>
    <tableColumn id="8" xr3:uid="{8E89560E-0E58-6948-AC3E-B70F69373D6F}" name="可可."/>
    <tableColumn id="9" xr3:uid="{7CFC8976-FB98-B24B-B0FD-42E82EB986EE}" name="伯爵."/>
    <tableColumn id="10" xr3:uid="{7C18D51B-A6EE-9D47-A050-11D7E9FDE8B1}" name="抹茶."/>
    <tableColumn id="11" xr3:uid="{0E7BF30E-B8D1-D148-9F2D-AA645551A322}" name="金額" dataDxfId="26">
      <calculatedColumnFormula>SUM(SUM(B8:F8)*360,SUM(G8:J8)*90)</calculatedColumnFormula>
    </tableColumn>
    <tableColumn id="12" xr3:uid="{F3EF580A-F9A9-8E4A-BB89-E56D227AC0EA}" name="運費"/>
    <tableColumn id="13" xr3:uid="{FCD3E482-093D-664F-850A-4797EEBCA9BF}" name="折讓金額"/>
    <tableColumn id="14" xr3:uid="{FF001029-703C-AC43-80AE-6A29C8FE42DF}" name="實收金額">
      <calculatedColumnFormula>K8+L8-M8</calculatedColumnFormula>
    </tableColumn>
    <tableColumn id="16" xr3:uid="{E2377C6D-E1E5-C84F-BD8D-1BBAB2025B9B}" name="收款類別"/>
    <tableColumn id="15" xr3:uid="{C7E6ABBB-3CA3-5E43-964D-4EB4393218B5}" name="備註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B246BC39-D9CD-664A-98EA-1E6002E77F02}" name="表格1_33451525354" displayName="表格1_33451525354" ref="A7:P101" totalsRowShown="0">
  <autoFilter ref="A7:P101" xr:uid="{C2F20F01-9FAC-4842-9173-BF61F68B3662}"/>
  <tableColumns count="16">
    <tableColumn id="1" xr3:uid="{0944B656-4523-6143-AA70-781E832D36ED}" name="購買人"/>
    <tableColumn id="2" xr3:uid="{8A486AAF-D95F-114A-B43D-D0108511080A}" name="綜合"/>
    <tableColumn id="3" xr3:uid="{269AFE5A-CBB1-DE45-9761-6C80A2F9B148}" name="原味"/>
    <tableColumn id="4" xr3:uid="{543276FB-F767-C94D-BAC5-41D95C3425E6}" name="可可"/>
    <tableColumn id="5" xr3:uid="{C9DDADBD-BB5B-D84F-9DED-C66AA207FA5D}" name="伯爵"/>
    <tableColumn id="6" xr3:uid="{EFFC5D0B-DE18-B648-BC0C-DB476DF1E474}" name="抹茶"/>
    <tableColumn id="7" xr3:uid="{9E5AA32B-D579-D14C-81D1-6B8714873F16}" name="原味."/>
    <tableColumn id="8" xr3:uid="{3F00B8CF-2695-204A-9A90-710FD7FB3837}" name="可可."/>
    <tableColumn id="9" xr3:uid="{D7C1A41D-7920-CE4A-81CD-07D37CA56268}" name="伯爵."/>
    <tableColumn id="10" xr3:uid="{B856B749-BEEF-0848-9358-B5D1A00F4F93}" name="抹茶."/>
    <tableColumn id="11" xr3:uid="{723F7105-11D7-EB4A-A48E-9A2026571676}" name="金額" dataDxfId="25">
      <calculatedColumnFormula>SUM(SUM(B8:F8)*360,SUM(G8:J8)*90)</calculatedColumnFormula>
    </tableColumn>
    <tableColumn id="12" xr3:uid="{41835271-6528-0C45-959E-DDBD1492791A}" name="運費"/>
    <tableColumn id="13" xr3:uid="{00CB29EB-AFEA-544F-9109-73DDA1E0A4FA}" name="折讓金額"/>
    <tableColumn id="14" xr3:uid="{614B7A65-D283-7947-BEDB-D8F072EF4DD7}" name="實收金額">
      <calculatedColumnFormula>K8+L8-M8</calculatedColumnFormula>
    </tableColumn>
    <tableColumn id="16" xr3:uid="{99F644BB-DC56-E242-B2BD-5C20A2804D93}" name="欄1"/>
    <tableColumn id="15" xr3:uid="{1390910B-5E3D-964E-BF15-AB54B7460A5B}" name="備註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C206C7C1-BB1F-0146-9C52-9D35F9ECFBCB}" name="表格1_3345152535455" displayName="表格1_3345152535455" ref="A7:P101" totalsRowShown="0">
  <autoFilter ref="A7:P101" xr:uid="{C2F20F01-9FAC-4842-9173-BF61F68B3662}"/>
  <tableColumns count="16">
    <tableColumn id="1" xr3:uid="{32AFE143-65D1-F74E-9FF0-07882FF5C885}" name="購買人"/>
    <tableColumn id="2" xr3:uid="{F7A604E3-EEBB-054A-860B-2689CEB6F348}" name="綜合"/>
    <tableColumn id="3" xr3:uid="{E83A5EB9-A072-3A4A-BC73-01B16A029784}" name="原味"/>
    <tableColumn id="4" xr3:uid="{C5731135-AD68-A74F-B0AD-684D4EC99397}" name="可可"/>
    <tableColumn id="5" xr3:uid="{5923493A-F107-F543-8F26-A6EDC35064D0}" name="伯爵"/>
    <tableColumn id="6" xr3:uid="{54DB7B50-8901-424D-8ED2-452EFE4197D5}" name="抹茶"/>
    <tableColumn id="7" xr3:uid="{69BC0581-9230-954C-8293-AE7DA43C1E5B}" name="原味."/>
    <tableColumn id="8" xr3:uid="{10CDB823-2081-E24B-9C84-54DBFDA15FD5}" name="可可."/>
    <tableColumn id="9" xr3:uid="{1E457B8B-E0C3-BF4F-9AEC-993BFFDDD7C3}" name="伯爵."/>
    <tableColumn id="10" xr3:uid="{F79B7D3A-7CA0-A84E-B304-338A6D8D4690}" name="抹茶."/>
    <tableColumn id="11" xr3:uid="{E4573BD8-6D84-064B-A588-067C467DC634}" name="金額" dataDxfId="24">
      <calculatedColumnFormula>SUM(SUM(B8:F8)*360,SUM(G8:J8)*90)</calculatedColumnFormula>
    </tableColumn>
    <tableColumn id="12" xr3:uid="{5F745E8A-0742-A748-8B1C-C0D2FCFA9C6C}" name="運費"/>
    <tableColumn id="13" xr3:uid="{89C5FD8A-D107-C141-AE9E-4F5921D76024}" name="折讓金額"/>
    <tableColumn id="14" xr3:uid="{73F80F96-6DB0-8343-84A0-663E0EA6F2E3}" name="實收金額">
      <calculatedColumnFormula>K8+L8-M8</calculatedColumnFormula>
    </tableColumn>
    <tableColumn id="16" xr3:uid="{423FCCA7-2F14-1645-80B3-DA6D59371A3B}" name="欄1"/>
    <tableColumn id="15" xr3:uid="{C4AC1A45-EC63-7645-A849-7FAE110253C2}" name="備註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D1C7631E-792B-8546-81E4-07341E25D9A5}" name="表格1_334515253545556" displayName="表格1_334515253545556" ref="A7:P101" totalsRowShown="0">
  <autoFilter ref="A7:P101" xr:uid="{C2F20F01-9FAC-4842-9173-BF61F68B3662}"/>
  <tableColumns count="16">
    <tableColumn id="1" xr3:uid="{74312C4D-E1F0-114D-9622-D65D4E5E3C7F}" name="購買人"/>
    <tableColumn id="2" xr3:uid="{467A5AC6-4C97-D441-8AD3-1BC833EC7C77}" name="綜合"/>
    <tableColumn id="3" xr3:uid="{CE8A6C73-E104-5245-955A-8C04C1141F9B}" name="原味"/>
    <tableColumn id="4" xr3:uid="{1E54D8C5-4F74-B647-A8B2-C53592F68119}" name="可可"/>
    <tableColumn id="5" xr3:uid="{44477A8F-2AFF-C144-B5D5-83111CB54EDD}" name="伯爵"/>
    <tableColumn id="6" xr3:uid="{87C05AC0-50DE-CD42-95B1-FF3ED26A9F03}" name="抹茶"/>
    <tableColumn id="7" xr3:uid="{BD518A06-62F0-8048-9AA2-9E3C5ECF5953}" name="原味."/>
    <tableColumn id="8" xr3:uid="{E3A6DF3A-B100-1C4C-BBC2-E8CDDA76C988}" name="可可."/>
    <tableColumn id="9" xr3:uid="{8201B52D-BDBE-AC44-8C5D-6D0554B2ACCE}" name="伯爵."/>
    <tableColumn id="10" xr3:uid="{3B6604DD-5067-7340-8D01-EFD7B44DA7E5}" name="抹茶."/>
    <tableColumn id="11" xr3:uid="{29E9FA53-0421-A14F-8B3D-669D5D3A71B7}" name="金額" dataDxfId="23">
      <calculatedColumnFormula>SUM(SUM(B8:F8)*360,SUM(G8:J8)*90)</calculatedColumnFormula>
    </tableColumn>
    <tableColumn id="12" xr3:uid="{107B2538-8E0B-8E41-9DF3-1C0F2EC69DE5}" name="運費"/>
    <tableColumn id="13" xr3:uid="{16A23A2D-F69A-3C4E-8D65-32FC62EAC1E0}" name="折讓金額"/>
    <tableColumn id="14" xr3:uid="{DB950689-9A86-B742-BD0D-760DAB563F31}" name="實收金額">
      <calculatedColumnFormula>K8+L8-M8</calculatedColumnFormula>
    </tableColumn>
    <tableColumn id="16" xr3:uid="{6ACA0BCF-EF77-8B49-A41E-5273A044B2E5}" name="欄1"/>
    <tableColumn id="15" xr3:uid="{7AB6A565-383E-2946-B8D5-0D74F0EA568F}" name="備註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DF1D10E7-76A0-774E-BE32-20717A9C6EBA}" name="表格1_33451525354555657" displayName="表格1_33451525354555657" ref="A7:P101" totalsRowShown="0">
  <autoFilter ref="A7:P101" xr:uid="{C2F20F01-9FAC-4842-9173-BF61F68B3662}"/>
  <tableColumns count="16">
    <tableColumn id="1" xr3:uid="{AC6B77B8-E8AF-0E48-89D3-49E7BEB1BB28}" name="購買人"/>
    <tableColumn id="2" xr3:uid="{95555C21-FF61-A341-80EB-333791E7C5E9}" name="綜合"/>
    <tableColumn id="3" xr3:uid="{C688D19F-5AA2-E64A-94DB-40884A390E78}" name="原味"/>
    <tableColumn id="4" xr3:uid="{EBF6E5FD-12A0-9F45-8DFE-0CAABFF9D1FE}" name="可可"/>
    <tableColumn id="5" xr3:uid="{3A92465A-D046-9C48-9EF3-8E38FA996852}" name="伯爵"/>
    <tableColumn id="6" xr3:uid="{707E1F91-C00A-6B4B-8653-5B28C5AEEC63}" name="抹茶"/>
    <tableColumn id="7" xr3:uid="{36558750-88F6-4F4C-910D-AE40212C0FA0}" name="原味."/>
    <tableColumn id="8" xr3:uid="{FABA2A8D-5367-EC4D-AA46-1FA5B817B06C}" name="可可."/>
    <tableColumn id="9" xr3:uid="{A1A5103E-585E-644E-B142-1F12C13B67CD}" name="伯爵."/>
    <tableColumn id="10" xr3:uid="{7154080A-C625-9045-A95D-B5BE036EB0E9}" name="抹茶."/>
    <tableColumn id="11" xr3:uid="{8D88977F-F7B3-B347-8487-7236F5959B1B}" name="金額" dataDxfId="22">
      <calculatedColumnFormula>SUM(SUM(B8:F8)*360,SUM(G8:J8)*90)</calculatedColumnFormula>
    </tableColumn>
    <tableColumn id="12" xr3:uid="{4947BD75-C4E3-FF49-8C41-32B345D8CB90}" name="運費"/>
    <tableColumn id="13" xr3:uid="{3A070930-EC6F-1643-9F6D-968CEFF8B6BA}" name="折讓金額"/>
    <tableColumn id="14" xr3:uid="{D0AE349C-5E01-4C45-9B42-2F2DAF6B3184}" name="實收金額" dataDxfId="21">
      <calculatedColumnFormula>K8+L8-M8</calculatedColumnFormula>
    </tableColumn>
    <tableColumn id="16" xr3:uid="{9D4D060F-1A76-9E4C-9C76-717411970438}" name="欄1"/>
    <tableColumn id="15" xr3:uid="{15C544D1-0EF8-9741-9B40-703F9EA35069}" name="備註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DCE917DE-133E-8A48-B396-7CC4C5CBEB67}" name="表格1_3345152535455565758" displayName="表格1_3345152535455565758" ref="A7:P101" totalsRowShown="0">
  <autoFilter ref="A7:P101" xr:uid="{C2F20F01-9FAC-4842-9173-BF61F68B3662}"/>
  <tableColumns count="16">
    <tableColumn id="1" xr3:uid="{C6DE4B0B-3BB0-654D-BA7E-FC3711F505D5}" name="購買人"/>
    <tableColumn id="2" xr3:uid="{EF181714-AC29-4346-9618-20B7AA552027}" name="綜合"/>
    <tableColumn id="3" xr3:uid="{2C2ADF57-DBA4-564D-8779-18CD50E3195F}" name="原味"/>
    <tableColumn id="4" xr3:uid="{6520D985-1BBA-A84E-A1DC-DCEFDA0CFD47}" name="可可"/>
    <tableColumn id="5" xr3:uid="{CD900F71-AEC2-F942-904A-5CC8A83339E2}" name="伯爵"/>
    <tableColumn id="6" xr3:uid="{54D47F32-914B-6947-B8EC-43CF99074A3C}" name="抹茶"/>
    <tableColumn id="7" xr3:uid="{B51DF836-2DFD-094C-B7DF-89A3607D7309}" name="原味."/>
    <tableColumn id="8" xr3:uid="{38F628ED-27F5-F34E-A88B-599F156EB0C9}" name="可可."/>
    <tableColumn id="9" xr3:uid="{6D5EB687-CA95-E34C-A8D9-AF49B588DADF}" name="伯爵."/>
    <tableColumn id="10" xr3:uid="{46F23E9D-E455-D944-864A-E5773E73F7A8}" name="抹茶."/>
    <tableColumn id="11" xr3:uid="{E4C58016-79B5-074C-9410-EC509DD3DBC7}" name="金額" dataDxfId="20">
      <calculatedColumnFormula>SUM(SUM(B8:F8)*360,SUM(G8:J8)*90)</calculatedColumnFormula>
    </tableColumn>
    <tableColumn id="12" xr3:uid="{CCCBA873-C8B7-2B43-B355-6C154C390957}" name="運費"/>
    <tableColumn id="13" xr3:uid="{EE0143E4-98FC-7148-9953-7F53F58C5304}" name="折讓金額"/>
    <tableColumn id="14" xr3:uid="{DCE809BB-94F5-D245-8295-6AC9684253AB}" name="實收金額">
      <calculatedColumnFormula>K8+L8-M8</calculatedColumnFormula>
    </tableColumn>
    <tableColumn id="16" xr3:uid="{1B51DA92-0159-594B-9E1D-F248E6B1F30A}" name="欄1"/>
    <tableColumn id="15" xr3:uid="{C13215EA-A324-B742-8813-4C6142EDD103}" name="備註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5B281096-27F8-D344-AB0F-F783CCCC1CE6}" name="表格1_334515253545556575859" displayName="表格1_334515253545556575859" ref="A7:P101" totalsRowShown="0">
  <autoFilter ref="A7:P101" xr:uid="{C2F20F01-9FAC-4842-9173-BF61F68B3662}"/>
  <tableColumns count="16">
    <tableColumn id="1" xr3:uid="{D3D5BE2E-FD68-B341-BAB6-26FFA98DBA27}" name="購買人"/>
    <tableColumn id="2" xr3:uid="{2D852924-11A0-5B4B-876E-D0C871657881}" name="綜合"/>
    <tableColumn id="3" xr3:uid="{627D2DF1-A7D6-414B-9BE2-925724676DBA}" name="原味"/>
    <tableColumn id="4" xr3:uid="{C39A010D-966E-CD44-94DA-F06FE22BF04D}" name="可可"/>
    <tableColumn id="5" xr3:uid="{EEC1E3B8-0043-024A-AED4-37CF4A4C9DFF}" name="伯爵"/>
    <tableColumn id="6" xr3:uid="{D2AACB43-3B85-1347-BEC5-1C8E6C6186C7}" name="抹茶"/>
    <tableColumn id="7" xr3:uid="{5AAAD6B8-84B0-A149-8AAC-12F37369C531}" name="原味."/>
    <tableColumn id="8" xr3:uid="{66D22073-E279-ED46-876C-EBA10EA96BCC}" name="可可."/>
    <tableColumn id="9" xr3:uid="{1F3A38C5-6E4C-6B49-9075-48CD27980234}" name="伯爵."/>
    <tableColumn id="10" xr3:uid="{0524AA27-78C2-7846-B26E-82C2B16C1E3D}" name="抹茶."/>
    <tableColumn id="11" xr3:uid="{E3B3BD60-1248-8B49-A5DE-2B3CE18FA43A}" name="金額" dataDxfId="19">
      <calculatedColumnFormula>SUM(SUM(B8:F8)*360,SUM(G8:J8)*90)</calculatedColumnFormula>
    </tableColumn>
    <tableColumn id="12" xr3:uid="{E9F928F8-1EF9-244C-B514-50AAF7D1A9AE}" name="運費"/>
    <tableColumn id="13" xr3:uid="{80153119-0207-7D48-91AD-E3436698DD8A}" name="折讓金額"/>
    <tableColumn id="14" xr3:uid="{305B9867-D917-F545-A76E-BDD080ADC546}" name="實收金額">
      <calculatedColumnFormula>K8+L8-M8</calculatedColumnFormula>
    </tableColumn>
    <tableColumn id="16" xr3:uid="{F2AD4226-1EA0-034A-91BE-C83B4CCB4A3E}" name="欄1"/>
    <tableColumn id="15" xr3:uid="{8D70C7C7-C0FB-3A4F-AF10-660A308811CA}" name="備註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5CBE97F2-9FA9-8F47-BD1B-72809CBDF8F3}" name="表格1_33451525354555657585960" displayName="表格1_33451525354555657585960" ref="A7:P101" totalsRowShown="0">
  <autoFilter ref="A7:P101" xr:uid="{C2F20F01-9FAC-4842-9173-BF61F68B3662}"/>
  <tableColumns count="16">
    <tableColumn id="1" xr3:uid="{F1E6A124-29C2-FC44-8A14-C140B422BE50}" name="購買人"/>
    <tableColumn id="2" xr3:uid="{2894C7E5-FE0B-8A4C-A4BF-477A78B51649}" name="綜合"/>
    <tableColumn id="3" xr3:uid="{23A158DA-6F90-2448-A235-DEC6A6777B58}" name="原味"/>
    <tableColumn id="4" xr3:uid="{0A5DB7F3-869F-C747-A8FE-BDD899020385}" name="可可"/>
    <tableColumn id="5" xr3:uid="{EFB43731-5E73-B943-97C0-235F02DE7007}" name="伯爵"/>
    <tableColumn id="6" xr3:uid="{59BACA71-BF08-CD4B-88A1-6C5D8A7D1BB4}" name="抹茶"/>
    <tableColumn id="7" xr3:uid="{B6EDBB76-FA1D-D44C-9E5F-EC4CBEC21E41}" name="原味."/>
    <tableColumn id="8" xr3:uid="{377069DB-7927-044B-8335-009A78C71C95}" name="可可."/>
    <tableColumn id="9" xr3:uid="{35C9EDFB-D564-F145-8B7E-CCE3FC81C18E}" name="伯爵."/>
    <tableColumn id="10" xr3:uid="{447C2240-BE13-6C4B-9A36-B9279B187EBC}" name="抹茶."/>
    <tableColumn id="11" xr3:uid="{0351EC81-46CB-7846-9645-1BBC016DBCAC}" name="金額" dataDxfId="18">
      <calculatedColumnFormula>SUM(SUM(B8:F8)*360,SUM(G8:J8)*90)</calculatedColumnFormula>
    </tableColumn>
    <tableColumn id="12" xr3:uid="{E64DB7B6-C64D-9E45-933D-814FC4139DBF}" name="運費"/>
    <tableColumn id="13" xr3:uid="{5D22DEB4-2F4C-C140-8EB0-80DA5FCE025A}" name="折讓金額"/>
    <tableColumn id="14" xr3:uid="{285885D0-A7CA-B54D-8702-BFE2522F1C7D}" name="實收金額">
      <calculatedColumnFormula>K8+L8-M8</calculatedColumnFormula>
    </tableColumn>
    <tableColumn id="16" xr3:uid="{002C1E8C-02D4-C74D-AB36-3F26B1FE3BF1}" name="欄1"/>
    <tableColumn id="15" xr3:uid="{0F6F2E3D-D1C6-7441-A628-65CB3BC6A678}" name="備註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E7A21E20-F1B2-5A4C-AC3F-6571F64157DF}" name="表格1_3345152535455565758596061" displayName="表格1_3345152535455565758596061" ref="A7:P101" totalsRowShown="0">
  <autoFilter ref="A7:P101" xr:uid="{C2F20F01-9FAC-4842-9173-BF61F68B3662}"/>
  <tableColumns count="16">
    <tableColumn id="1" xr3:uid="{33B84898-5EE5-654A-ABF7-EBFD9130552B}" name="購買人"/>
    <tableColumn id="2" xr3:uid="{3FCE41C1-31D5-5847-A3CA-276162D845ED}" name="綜合"/>
    <tableColumn id="3" xr3:uid="{94ED1DBD-67F1-1141-9F88-99E5A7387D8D}" name="原味"/>
    <tableColumn id="4" xr3:uid="{72A5BA56-DB7A-FB42-9DAB-7ACCC19589C0}" name="可可"/>
    <tableColumn id="5" xr3:uid="{FFBAD6B9-AFAE-A048-8D47-7AD45B85DFFE}" name="伯爵"/>
    <tableColumn id="6" xr3:uid="{61A962FB-E2F5-5F47-9AEA-4525014360F3}" name="抹茶"/>
    <tableColumn id="7" xr3:uid="{CEE2B785-3C3C-1046-A149-3B064985DC06}" name="原味."/>
    <tableColumn id="8" xr3:uid="{96667F44-A342-E34E-8495-E95C4F135F74}" name="可可."/>
    <tableColumn id="9" xr3:uid="{2D6D9C42-41EB-0342-A8D9-725CE7A78725}" name="伯爵."/>
    <tableColumn id="10" xr3:uid="{03DFE843-2EE6-B948-8946-ED8D58C28C68}" name="抹茶."/>
    <tableColumn id="11" xr3:uid="{4678AE3C-E09B-BB4F-B263-3823499F0784}" name="金額" dataDxfId="17">
      <calculatedColumnFormula>SUM(SUM(B8:F8)*360,SUM(G8:J8)*90)</calculatedColumnFormula>
    </tableColumn>
    <tableColumn id="12" xr3:uid="{B2AE13E3-AF49-F741-BC6B-A1FDCFCD6519}" name="運費"/>
    <tableColumn id="13" xr3:uid="{C3D24FB8-4A93-C84B-B726-5DEDF98E72BC}" name="折讓金額"/>
    <tableColumn id="14" xr3:uid="{FE5B20B7-CB12-DF46-8445-3D544D57C7C6}" name="實收金額">
      <calculatedColumnFormula>K8+L8-M8</calculatedColumnFormula>
    </tableColumn>
    <tableColumn id="16" xr3:uid="{70D77321-1FA2-B146-B5E2-07C7A4227356}" name="欄1"/>
    <tableColumn id="15" xr3:uid="{AED5153C-CD05-BA41-B6AD-63E3A3FECAFC}" name="備註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4279B80-F773-144F-B798-E21A29313048}" name="表格1_334515253545556575859606162" displayName="表格1_334515253545556575859606162" ref="A7:P101" totalsRowShown="0">
  <autoFilter ref="A7:P101" xr:uid="{C2F20F01-9FAC-4842-9173-BF61F68B3662}"/>
  <tableColumns count="16">
    <tableColumn id="1" xr3:uid="{1E57F6CA-DF49-5A4A-A060-794C4880B73F}" name="購買人"/>
    <tableColumn id="2" xr3:uid="{A50F2AC3-6177-D440-8DEB-03A5657E63BC}" name="綜合"/>
    <tableColumn id="3" xr3:uid="{DEBE2C47-DC9E-B346-8E9A-6D83BB65BB8B}" name="原味"/>
    <tableColumn id="4" xr3:uid="{B2927DA0-19A2-3F47-BF99-8948C77FB04F}" name="可可"/>
    <tableColumn id="5" xr3:uid="{F905EE3E-29F0-BB41-B8E0-D5F858579859}" name="伯爵"/>
    <tableColumn id="6" xr3:uid="{7C2B0C69-BDC0-594F-A18C-617B63B5069D}" name="抹茶"/>
    <tableColumn id="7" xr3:uid="{22D4C2F8-57E8-964C-BBED-94521CB19C3D}" name="原味."/>
    <tableColumn id="8" xr3:uid="{24A6E768-690F-E14D-89B7-374E08504153}" name="可可."/>
    <tableColumn id="9" xr3:uid="{89B34B84-64D5-CD46-B705-CFEB75486601}" name="伯爵."/>
    <tableColumn id="10" xr3:uid="{5C183E34-6FEF-EB4F-ACC6-D65DA63AEA5A}" name="抹茶."/>
    <tableColumn id="11" xr3:uid="{0E200096-96C4-E348-909E-B036BE13E86A}" name="金額" dataDxfId="16">
      <calculatedColumnFormula>SUM(SUM(B8:F8)*360,SUM(G8:J8)*90)</calculatedColumnFormula>
    </tableColumn>
    <tableColumn id="12" xr3:uid="{1F0C7EC0-146A-2548-A22B-941AB8AF3A95}" name="運費"/>
    <tableColumn id="13" xr3:uid="{7D61A4D6-0D62-CF4F-A1AD-A34A24D88258}" name="折讓金額"/>
    <tableColumn id="14" xr3:uid="{43AD54E6-B182-DA41-83DC-D8444759C32F}" name="實收金額">
      <calculatedColumnFormula>K8+L8-M8</calculatedColumnFormula>
    </tableColumn>
    <tableColumn id="16" xr3:uid="{DCA4D9C6-C6C6-1F47-B7C0-48DB727F6733}" name="欄1"/>
    <tableColumn id="15" xr3:uid="{0063886C-AE4F-AD4A-B92F-000AF34266D0}" name="備註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505D097C-9C48-CE4B-82B5-7CCD54D1E95E}" name="表格1_33451525354555657585960616263" displayName="表格1_33451525354555657585960616263" ref="A7:P101" totalsRowShown="0">
  <autoFilter ref="A7:P101" xr:uid="{C2F20F01-9FAC-4842-9173-BF61F68B3662}"/>
  <tableColumns count="16">
    <tableColumn id="1" xr3:uid="{54FCB852-6035-5143-8BCB-D54268B6D647}" name="購買人"/>
    <tableColumn id="2" xr3:uid="{42AF9C82-4D45-C941-9730-A5A15E3E72C2}" name="綜合"/>
    <tableColumn id="3" xr3:uid="{F30DA48B-BDF5-084A-808E-AA2DB2FD3E75}" name="原味"/>
    <tableColumn id="4" xr3:uid="{F55DBF21-F97E-1441-81C9-B9B941890C9F}" name="可可"/>
    <tableColumn id="5" xr3:uid="{2DC644D5-F5EE-C941-BD04-4D5E8B66E73C}" name="伯爵"/>
    <tableColumn id="6" xr3:uid="{C353C35A-6434-E244-AC40-95EFEC4F6FE9}" name="抹茶"/>
    <tableColumn id="7" xr3:uid="{D2E0FB5C-8B32-4B45-9699-F78A4ABB02F2}" name="原味."/>
    <tableColumn id="8" xr3:uid="{9D656B10-3486-8640-BFE2-8983355B5376}" name="可可."/>
    <tableColumn id="9" xr3:uid="{D9192883-7CD7-B74F-8B13-616F7938DD2B}" name="伯爵."/>
    <tableColumn id="10" xr3:uid="{AFC72F30-14DE-1847-A193-5FD473A95E29}" name="抹茶."/>
    <tableColumn id="11" xr3:uid="{BD05B1AE-5C1A-2B47-80F3-F2F62C64AD8A}" name="金額" dataDxfId="15">
      <calculatedColumnFormula>SUM(SUM(B8:F8)*360,SUM(G8:J8)*90)</calculatedColumnFormula>
    </tableColumn>
    <tableColumn id="12" xr3:uid="{134DF007-BB26-1242-A594-335D0BB5C82A}" name="運費"/>
    <tableColumn id="13" xr3:uid="{8AFAB4CA-5EA6-3842-8B5F-8FF0FEBA681D}" name="折讓金額"/>
    <tableColumn id="14" xr3:uid="{A675C1F7-4F1E-EC4D-A028-F33641E9B32E}" name="實收金額">
      <calculatedColumnFormula>K8+L8-M8</calculatedColumnFormula>
    </tableColumn>
    <tableColumn id="16" xr3:uid="{606DFD8D-DC56-644E-99A1-DDBE6C11DAEC}" name="欄1"/>
    <tableColumn id="15" xr3:uid="{12EDDDE3-AFA5-354B-BCF8-43B5E308E39C}" name="備註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DFE7DE08-A6D7-444D-94F2-290BE00A1BBC}" name="表格1_3345152535455565758596061626364" displayName="表格1_3345152535455565758596061626364" ref="A7:P101" totalsRowShown="0">
  <autoFilter ref="A7:P101" xr:uid="{C2F20F01-9FAC-4842-9173-BF61F68B3662}"/>
  <tableColumns count="16">
    <tableColumn id="1" xr3:uid="{B1F03AA9-F385-EC4A-B44E-EFD08620926F}" name="購買人"/>
    <tableColumn id="2" xr3:uid="{0C621589-B422-404D-9ECE-F6FF6AFE7F55}" name="綜合"/>
    <tableColumn id="3" xr3:uid="{DB16909C-68CC-2E44-B87B-C0E52CF38D9C}" name="原味"/>
    <tableColumn id="4" xr3:uid="{A393F90A-66D7-9E49-8492-081F9AD1F3F2}" name="可可"/>
    <tableColumn id="5" xr3:uid="{D7B47B74-F5D2-B84E-869C-BA2BC6BC4348}" name="伯爵"/>
    <tableColumn id="6" xr3:uid="{FF963A89-712E-B942-A683-F9C03F643B91}" name="抹茶"/>
    <tableColumn id="7" xr3:uid="{7556D7A7-0D37-1D46-B104-2A0C4A36184A}" name="原味."/>
    <tableColumn id="8" xr3:uid="{9463AC58-3675-AA4E-B4F6-39F711260F7A}" name="可可."/>
    <tableColumn id="9" xr3:uid="{2E8840E0-0D93-F44B-A9AB-38A12DD37EF5}" name="伯爵."/>
    <tableColumn id="10" xr3:uid="{ECC6C654-361C-4D42-A216-567492E29F53}" name="抹茶."/>
    <tableColumn id="11" xr3:uid="{F7AFD229-DC21-E648-9075-BA901002F6B9}" name="金額" dataDxfId="14">
      <calculatedColumnFormula>SUM(SUM(B8:F8)*360,SUM(G8:J8)*90)</calculatedColumnFormula>
    </tableColumn>
    <tableColumn id="12" xr3:uid="{6A08BD14-E682-5947-9280-12FF383CF0FC}" name="運費"/>
    <tableColumn id="13" xr3:uid="{9BCFC309-FD38-4845-82B4-6E6986B5D289}" name="折讓金額"/>
    <tableColumn id="14" xr3:uid="{1CF33AD4-E60D-C94B-9CF1-A68CD345B9A1}" name="實收金額">
      <calculatedColumnFormula>K8+L8-M8</calculatedColumnFormula>
    </tableColumn>
    <tableColumn id="16" xr3:uid="{0C61B089-2C39-1B44-B313-8BDF630468F0}" name="欄1"/>
    <tableColumn id="15" xr3:uid="{87DC661D-AFB2-9143-9BF9-9BC8DBC7A238}" name="備註"/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CA01881F-4E9B-324B-825C-7DA5A11AEE43}" name="表格1_334515253545556575859606162636465" displayName="表格1_334515253545556575859606162636465" ref="A7:P101" totalsRowShown="0">
  <autoFilter ref="A7:P101" xr:uid="{C2F20F01-9FAC-4842-9173-BF61F68B3662}"/>
  <tableColumns count="16">
    <tableColumn id="1" xr3:uid="{B113D80E-246F-AE4C-B299-05DF439DE03A}" name="購買人"/>
    <tableColumn id="2" xr3:uid="{11840231-0BE2-FB4A-BEAB-47764589ECBD}" name="綜合"/>
    <tableColumn id="3" xr3:uid="{52B038D0-8163-0843-8593-DAB30D7E2C6F}" name="原味"/>
    <tableColumn id="4" xr3:uid="{206C7C0E-A8ED-124D-A963-8B33D5B303EC}" name="可可"/>
    <tableColumn id="5" xr3:uid="{2F56A3B5-8CB1-3B42-B90D-5C173BDDDB3B}" name="伯爵"/>
    <tableColumn id="6" xr3:uid="{16046749-A474-E548-9695-E14043D9BAA1}" name="抹茶"/>
    <tableColumn id="7" xr3:uid="{8ACC867A-05BF-C141-92AC-9F12EA5F08C7}" name="原味."/>
    <tableColumn id="8" xr3:uid="{1D049E7A-8DF5-2F4F-85FF-5B8359191E34}" name="可可."/>
    <tableColumn id="9" xr3:uid="{CD4E748A-2209-594B-B54C-ED5FFFC0A0B9}" name="伯爵."/>
    <tableColumn id="10" xr3:uid="{21A6FD1D-16BE-DB4B-8705-E594212A0635}" name="抹茶."/>
    <tableColumn id="11" xr3:uid="{1B6F0461-7B8F-304E-8FA3-0C2874EE27AA}" name="金額" dataDxfId="13">
      <calculatedColumnFormula>SUM(SUM(B8:F8)*360,SUM(G8:J8)*90)</calculatedColumnFormula>
    </tableColumn>
    <tableColumn id="12" xr3:uid="{A31AC02D-FCF0-A54A-98D9-BDB4738698B1}" name="運費"/>
    <tableColumn id="13" xr3:uid="{587C501C-0EDA-0543-A410-CF2F0476641E}" name="折讓金額"/>
    <tableColumn id="14" xr3:uid="{E02B4EE9-012E-5D42-BA71-16D9CF1557FC}" name="實收金額">
      <calculatedColumnFormula>K8+L8-M8</calculatedColumnFormula>
    </tableColumn>
    <tableColumn id="16" xr3:uid="{6B268DD5-2C6B-0043-9022-E45130B807DA}" name="欄1"/>
    <tableColumn id="15" xr3:uid="{CD831CBB-1221-B64F-A1E1-F41FDEEE62AA}" name="備註"/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244677B1-895C-7942-97C4-DC2F1CDA30B5}" name="表格1_33451525354555657585960616263646566" displayName="表格1_33451525354555657585960616263646566" ref="A7:P101" totalsRowShown="0">
  <autoFilter ref="A7:P101" xr:uid="{C2F20F01-9FAC-4842-9173-BF61F68B3662}"/>
  <tableColumns count="16">
    <tableColumn id="1" xr3:uid="{D2BD3F9B-7F24-EE48-9635-8C106525B2F0}" name="購買人"/>
    <tableColumn id="2" xr3:uid="{918DA2DC-9961-D649-B48F-5A643EC528DD}" name="綜合"/>
    <tableColumn id="3" xr3:uid="{D1F4DFA0-2C09-074C-BBAB-F284152C7AA0}" name="原味"/>
    <tableColumn id="4" xr3:uid="{9D4BA402-220D-7D47-BE60-8248B7FFB9A0}" name="可可"/>
    <tableColumn id="5" xr3:uid="{577B465B-F54F-CB41-B7ED-C9E3B82FE6B5}" name="伯爵"/>
    <tableColumn id="6" xr3:uid="{119725DD-3DFF-9944-87B0-83EF109CBA81}" name="抹茶"/>
    <tableColumn id="7" xr3:uid="{E1F2BEA3-1970-0543-8E22-D93E8DB72239}" name="原味."/>
    <tableColumn id="8" xr3:uid="{60EEB5BE-F2D9-5C4E-BB26-4D636A680521}" name="可可."/>
    <tableColumn id="9" xr3:uid="{B89E298C-C66B-5543-AF57-CB5AD97472BC}" name="伯爵."/>
    <tableColumn id="10" xr3:uid="{CC0D0047-D163-6C4E-AE68-9F71866AED42}" name="抹茶."/>
    <tableColumn id="11" xr3:uid="{DD01D2E3-36CC-3448-8240-F4C09CD0F190}" name="金額" dataDxfId="12">
      <calculatedColumnFormula>SUM(SUM(B8:F8)*360,SUM(G8:J8)*90)</calculatedColumnFormula>
    </tableColumn>
    <tableColumn id="12" xr3:uid="{EB7E9A09-B0D1-6248-888B-3EAA5B1420D5}" name="運費"/>
    <tableColumn id="13" xr3:uid="{6AE1AF89-2225-4147-8F90-9869FDD80E99}" name="折讓金額"/>
    <tableColumn id="14" xr3:uid="{F52FE626-7B5F-8244-8909-32179AAD69DA}" name="實收金額">
      <calculatedColumnFormula>K8+L8-M8</calculatedColumnFormula>
    </tableColumn>
    <tableColumn id="16" xr3:uid="{B3F74E0F-0EA1-0D40-A845-7EDAD192FFBE}" name="欄1"/>
    <tableColumn id="15" xr3:uid="{84013069-3A97-B74C-95DD-3F464DE678BC}" name="備註"/>
  </tableColumns>
  <tableStyleInfo name="TableStyleLight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A7473A77-80A2-B54E-B4B0-8743F880DAB4}" name="表格1_3345152535455565758596061626364656667" displayName="表格1_3345152535455565758596061626364656667" ref="A7:P101" totalsRowShown="0">
  <autoFilter ref="A7:P101" xr:uid="{C2F20F01-9FAC-4842-9173-BF61F68B3662}"/>
  <tableColumns count="16">
    <tableColumn id="1" xr3:uid="{9073FDB3-A5F8-054B-A750-0A73E00B13FD}" name="購買人"/>
    <tableColumn id="2" xr3:uid="{0B86F18C-9C11-DD4A-B3A7-F7668FDC9BE0}" name="綜合"/>
    <tableColumn id="3" xr3:uid="{7A95FE0C-A5BE-4544-A1F2-1E141557EA7A}" name="原味"/>
    <tableColumn id="4" xr3:uid="{D51999A4-998E-4046-8F9E-D1C53484B793}" name="可可"/>
    <tableColumn id="5" xr3:uid="{09299EC8-82C6-F94E-BB2C-F5541418ADA1}" name="伯爵"/>
    <tableColumn id="6" xr3:uid="{C123E9BA-CCF7-0341-BEC9-86F44878C135}" name="抹茶"/>
    <tableColumn id="7" xr3:uid="{43439CAB-AD8C-CB4E-9426-4C9E8139E0C6}" name="原味."/>
    <tableColumn id="8" xr3:uid="{BD8D1446-19F4-174F-93D9-83CADD639D39}" name="可可."/>
    <tableColumn id="9" xr3:uid="{3A5E6A70-9392-AC49-8765-EBCC8A54CB85}" name="伯爵."/>
    <tableColumn id="10" xr3:uid="{30E547B8-FE8F-3241-AE95-065E83D5AEDF}" name="抹茶."/>
    <tableColumn id="11" xr3:uid="{CA3B4B24-D5D3-6049-B029-058C0672CECD}" name="金額" dataDxfId="11">
      <calculatedColumnFormula>SUM(SUM(B8:F8)*360,SUM(G8:J8)*90)</calculatedColumnFormula>
    </tableColumn>
    <tableColumn id="12" xr3:uid="{5ADE2BE8-4C03-BC46-A1C6-98F7ADCAE491}" name="運費"/>
    <tableColumn id="13" xr3:uid="{7EA45401-FDD7-9D41-B2EE-0027CEB80F4B}" name="折讓金額"/>
    <tableColumn id="14" xr3:uid="{175CD5E1-56C5-C146-B0CE-EB07AFB6E008}" name="實收金額">
      <calculatedColumnFormula>K8+L8-M8</calculatedColumnFormula>
    </tableColumn>
    <tableColumn id="16" xr3:uid="{A94DC05E-9683-C04F-87AC-6F6D0F9FC408}" name="欄1"/>
    <tableColumn id="15" xr3:uid="{2437431F-0C34-4340-892A-78C792CABAF4}" name="備註"/>
  </tableColumns>
  <tableStyleInfo name="TableStyleLight1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70D37A6-12A0-6B40-AB8A-314BAF776771}" name="表格1_334515253545556575859606162636465666768" displayName="表格1_334515253545556575859606162636465666768" ref="A7:P101" totalsRowShown="0">
  <autoFilter ref="A7:P101" xr:uid="{C2F20F01-9FAC-4842-9173-BF61F68B3662}"/>
  <tableColumns count="16">
    <tableColumn id="1" xr3:uid="{646AFF1F-E11A-6F43-A46C-5EBE87F9D787}" name="購買人"/>
    <tableColumn id="2" xr3:uid="{774312E1-A5D8-754B-9A7F-10AA703F2F73}" name="綜合"/>
    <tableColumn id="3" xr3:uid="{9EE58C26-724E-7A4E-8414-5E46583360C7}" name="原味"/>
    <tableColumn id="4" xr3:uid="{551758C0-FAFB-B942-99C3-1D9F11C3EC2A}" name="可可"/>
    <tableColumn id="5" xr3:uid="{DC9AC2BA-9046-4B47-AF40-DC8933AB6B9E}" name="伯爵"/>
    <tableColumn id="6" xr3:uid="{AC235FF0-D46A-5541-9D7F-6C49DFAEA810}" name="抹茶"/>
    <tableColumn id="7" xr3:uid="{4E1A3123-1DBE-E84C-BCEB-F68AD5736430}" name="原味."/>
    <tableColumn id="8" xr3:uid="{5E85FB8A-3FE1-8044-8306-43E9B141B500}" name="可可."/>
    <tableColumn id="9" xr3:uid="{43DAB2F8-4CC3-8C41-B68B-534F6FBB31C6}" name="伯爵."/>
    <tableColumn id="10" xr3:uid="{1064C770-154E-5049-ABEA-4DB7853689B6}" name="抹茶."/>
    <tableColumn id="11" xr3:uid="{23BC9AC0-91E5-2340-8FF1-8F6DFCF34223}" name="金額" dataDxfId="10">
      <calculatedColumnFormula>SUM(SUM(B8:F8)*360,SUM(G8:J8)*90)</calculatedColumnFormula>
    </tableColumn>
    <tableColumn id="12" xr3:uid="{0C32976E-B5A5-DD49-8400-A5D0E9057616}" name="運費"/>
    <tableColumn id="13" xr3:uid="{0A15F121-B987-674D-B8D3-4A877F098E7C}" name="折讓金額"/>
    <tableColumn id="14" xr3:uid="{BC161AA9-A533-CD4A-94F0-3B22B336B947}" name="實收金額">
      <calculatedColumnFormula>K8+L8-M8</calculatedColumnFormula>
    </tableColumn>
    <tableColumn id="16" xr3:uid="{4E5549ED-7D40-0141-960D-407BB376A6C5}" name="欄1"/>
    <tableColumn id="15" xr3:uid="{EAEC68F8-5006-034B-ACFD-5FA30F79A57B}" name="備註"/>
  </tableColumns>
  <tableStyleInfo name="TableStyleLight1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AFC8CB1-B631-DF45-A27E-30D26BC67864}" name="表格1_33451525354555657585960616263646566676869" displayName="表格1_33451525354555657585960616263646566676869" ref="A7:P101" totalsRowShown="0">
  <autoFilter ref="A7:P101" xr:uid="{C2F20F01-9FAC-4842-9173-BF61F68B3662}"/>
  <tableColumns count="16">
    <tableColumn id="1" xr3:uid="{68AB1737-349B-EE4C-981E-68AC6B738AE4}" name="購買人"/>
    <tableColumn id="2" xr3:uid="{0AFB96EF-F936-EA4F-84FD-74AE4299D6E0}" name="綜合"/>
    <tableColumn id="3" xr3:uid="{A28EFC44-85F2-CC4C-A5C4-F4E494FC7BE8}" name="原味"/>
    <tableColumn id="4" xr3:uid="{17D5791D-F144-9542-96DE-7F04DB3C87BC}" name="可可"/>
    <tableColumn id="5" xr3:uid="{AB4E529A-0ABD-FF47-9FAF-3FF5BE2200A8}" name="伯爵"/>
    <tableColumn id="6" xr3:uid="{1B13814E-02B6-4247-9CFA-837D237BE2A7}" name="抹茶"/>
    <tableColumn id="7" xr3:uid="{D508077C-9015-BC45-870A-41B9E18491BA}" name="原味."/>
    <tableColumn id="8" xr3:uid="{2AB11AA9-C6CA-F041-AFF3-79EBACE5BA5D}" name="可可."/>
    <tableColumn id="9" xr3:uid="{20A664D2-3DAD-9848-AF60-4ED1789A4815}" name="伯爵."/>
    <tableColumn id="10" xr3:uid="{C1A325FC-4E46-3141-AB6E-CEB35AD9DB40}" name="抹茶."/>
    <tableColumn id="11" xr3:uid="{5DCAF88A-FA2F-1A4E-AC60-5F11F81AF06E}" name="金額" dataDxfId="9">
      <calculatedColumnFormula>SUM(SUM(B8:F8)*360,SUM(G8:J8)*90)</calculatedColumnFormula>
    </tableColumn>
    <tableColumn id="12" xr3:uid="{04E973E6-580E-3E45-9AFF-3B7C6D4CD8FD}" name="運費"/>
    <tableColumn id="13" xr3:uid="{0EADE78A-7F2B-6443-9832-95B503B9A658}" name="折讓金額"/>
    <tableColumn id="14" xr3:uid="{517E22FC-0507-1042-B208-BB8224DEF3BC}" name="實收金額">
      <calculatedColumnFormula>K8+L8-M8</calculatedColumnFormula>
    </tableColumn>
    <tableColumn id="16" xr3:uid="{EF5C6144-7FB9-9F43-BCAF-B1C3DDFB98F8}" name="欄1"/>
    <tableColumn id="15" xr3:uid="{E74A52FF-1CAA-F342-8DCD-3F373F025BD8}" name="備註"/>
  </tableColumns>
  <tableStyleInfo name="TableStyleLight1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857D7FF9-6225-DA4E-A04C-8B5058910E05}" name="表格1_3345152535455565758596061626364656667686970" displayName="表格1_3345152535455565758596061626364656667686970" ref="A7:P101" totalsRowShown="0">
  <autoFilter ref="A7:P101" xr:uid="{C2F20F01-9FAC-4842-9173-BF61F68B3662}"/>
  <tableColumns count="16">
    <tableColumn id="1" xr3:uid="{3B3AC626-BFB7-8B48-BE48-0D027D705293}" name="購買人"/>
    <tableColumn id="2" xr3:uid="{EE722D46-C634-274A-922F-B6F9C58646BF}" name="綜合"/>
    <tableColumn id="3" xr3:uid="{859B43F4-C21A-1548-9BE1-3C3080499387}" name="原味"/>
    <tableColumn id="4" xr3:uid="{9B50D7EB-9819-D643-9A61-DD5155E14366}" name="可可"/>
    <tableColumn id="5" xr3:uid="{16AE319F-3414-8841-93DC-C26D7B85D1C9}" name="伯爵"/>
    <tableColumn id="6" xr3:uid="{00F72B85-1851-9545-9286-661FA28417A2}" name="抹茶"/>
    <tableColumn id="7" xr3:uid="{2677597A-EEE5-D046-BECC-D72B50910A22}" name="原味."/>
    <tableColumn id="8" xr3:uid="{C18B4C71-AFC0-E74C-A3AE-20C44E5A1675}" name="可可."/>
    <tableColumn id="9" xr3:uid="{EF794076-22C1-974B-A2A8-333F3028F78A}" name="伯爵."/>
    <tableColumn id="10" xr3:uid="{CFF51CD0-138F-D949-B37B-2563E51488F6}" name="抹茶."/>
    <tableColumn id="11" xr3:uid="{11EB26E8-C6F2-AD4A-BE84-AC667B30BF9D}" name="金額" dataDxfId="8">
      <calculatedColumnFormula>SUM(SUM(B8:F8)*360,SUM(G8:J8)*90)</calculatedColumnFormula>
    </tableColumn>
    <tableColumn id="12" xr3:uid="{99E2C851-DF0D-CC43-BABF-3D2FAEB672AF}" name="運費"/>
    <tableColumn id="13" xr3:uid="{50B23164-CFBB-FC4B-8B0C-AE6DF83C2C86}" name="折讓金額"/>
    <tableColumn id="14" xr3:uid="{23AB18D4-5FCE-C342-9C7B-963FF95FB5F7}" name="實收金額">
      <calculatedColumnFormula>K8+L8-M8</calculatedColumnFormula>
    </tableColumn>
    <tableColumn id="16" xr3:uid="{63C1545E-F22E-4C47-A8B7-D2A1DB29B1D2}" name="欄1"/>
    <tableColumn id="15" xr3:uid="{865BD018-9FD3-234C-940F-85C258795DAF}" name="備註"/>
  </tableColumns>
  <tableStyleInfo name="TableStyleLight1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89C946C7-2331-2840-A985-62E1CC79F800}" name="表格1_334515253545556575859606162636465666768697071" displayName="表格1_334515253545556575859606162636465666768697071" ref="A7:P101" totalsRowShown="0">
  <autoFilter ref="A7:P101" xr:uid="{C2F20F01-9FAC-4842-9173-BF61F68B3662}"/>
  <tableColumns count="16">
    <tableColumn id="1" xr3:uid="{28019D7B-241F-304B-8BDC-8107709A74D1}" name="購買人"/>
    <tableColumn id="2" xr3:uid="{CF414A40-F15A-D546-931A-F1C831EE8949}" name="綜合"/>
    <tableColumn id="3" xr3:uid="{EACE3723-A7E6-0F4C-9473-2623CBB44215}" name="原味"/>
    <tableColumn id="4" xr3:uid="{EF40F6DE-8366-F14B-B8C1-04823B1527B9}" name="可可"/>
    <tableColumn id="5" xr3:uid="{47365314-5A93-0A45-A265-5C8CA5EDB3B2}" name="伯爵"/>
    <tableColumn id="6" xr3:uid="{2950F231-DE44-354F-873B-99D7A61FC586}" name="抹茶"/>
    <tableColumn id="7" xr3:uid="{16511C31-A006-D547-99C8-282D47E6C512}" name="原味."/>
    <tableColumn id="8" xr3:uid="{D5DBF41C-338E-5A44-BEA2-7203CD0301D8}" name="可可."/>
    <tableColumn id="9" xr3:uid="{EE7F09FD-362F-634D-8B7B-5DFF50A18780}" name="伯爵."/>
    <tableColumn id="10" xr3:uid="{AB75E0F0-28EF-7240-8B9C-34F290A82B8E}" name="抹茶."/>
    <tableColumn id="11" xr3:uid="{46C1AEA5-2845-9049-8553-49A07A1FCFA5}" name="金額" dataDxfId="7">
      <calculatedColumnFormula>SUM(SUM(B8:F8)*360,SUM(G8:J8)*90)</calculatedColumnFormula>
    </tableColumn>
    <tableColumn id="12" xr3:uid="{F4BAC677-AC6C-0B4D-A7EF-DBD747751E29}" name="運費"/>
    <tableColumn id="13" xr3:uid="{F1C7A56E-C4D2-E24C-A26C-4376E91AE89F}" name="折讓金額"/>
    <tableColumn id="14" xr3:uid="{A6BA6E1A-BA88-1049-93BF-14DF3BD6FCC4}" name="實收金額">
      <calculatedColumnFormula>K8+L8-M8</calculatedColumnFormula>
    </tableColumn>
    <tableColumn id="16" xr3:uid="{25EF4BB8-887F-3744-AB2D-AF65FEF2CC2C}" name="欄1"/>
    <tableColumn id="15" xr3:uid="{C1B4C057-2FA9-634D-8018-0A0C83417FBE}" name="備註"/>
  </tableColumns>
  <tableStyleInfo name="TableStyleLight1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673753BA-4A7A-904E-98AE-969043BD248A}" name="表格1_33451525354555657585960616263646566676869707172" displayName="表格1_33451525354555657585960616263646566676869707172" ref="A7:P101" totalsRowShown="0">
  <autoFilter ref="A7:P101" xr:uid="{C2F20F01-9FAC-4842-9173-BF61F68B3662}"/>
  <tableColumns count="16">
    <tableColumn id="1" xr3:uid="{A908EAA6-376B-3344-B055-A75CC249DDFE}" name="購買人"/>
    <tableColumn id="2" xr3:uid="{75F5E5F9-3303-CF4E-B20B-F3E3FDDA3508}" name="綜合"/>
    <tableColumn id="3" xr3:uid="{1BACB75F-0015-D747-AD44-5B2C1450F142}" name="原味"/>
    <tableColumn id="4" xr3:uid="{49DFB457-C652-8C47-A41E-CFC9A19282AB}" name="可可"/>
    <tableColumn id="5" xr3:uid="{557F8119-3E4E-4345-9D2E-C2771F919A19}" name="伯爵"/>
    <tableColumn id="6" xr3:uid="{E82A72F1-082F-0A4E-909B-E76BCE71ECE9}" name="抹茶"/>
    <tableColumn id="7" xr3:uid="{EEA7C205-7E1D-194B-8670-D482EC797AED}" name="原味."/>
    <tableColumn id="8" xr3:uid="{CCC8CF72-D1E0-7C47-B07F-561672EDC457}" name="可可."/>
    <tableColumn id="9" xr3:uid="{1A718A76-3705-2A45-AFA2-13B156A6281E}" name="伯爵."/>
    <tableColumn id="10" xr3:uid="{291D5305-49EB-C24B-BAC9-54351067923E}" name="抹茶."/>
    <tableColumn id="11" xr3:uid="{1FA6AD9B-A714-3749-A81E-FCE4103926BE}" name="金額" dataDxfId="6">
      <calculatedColumnFormula>SUM(SUM(B8:F8)*360,SUM(G8:J8)*90)</calculatedColumnFormula>
    </tableColumn>
    <tableColumn id="12" xr3:uid="{341A5AC9-7F0D-E740-955B-8B28EABE3310}" name="運費"/>
    <tableColumn id="13" xr3:uid="{3805DCFC-EE26-E046-A515-6F8ECE17BF2C}" name="折讓金額"/>
    <tableColumn id="14" xr3:uid="{C1E2DF4C-FD74-AC4A-9EA1-4A25B51BA952}" name="實收金額">
      <calculatedColumnFormula>K8+L8-M8</calculatedColumnFormula>
    </tableColumn>
    <tableColumn id="16" xr3:uid="{B4FF30EB-A33E-AE41-9A81-6184000C9161}" name="欄1"/>
    <tableColumn id="15" xr3:uid="{DEBC7B29-695F-7048-9903-B1DF89B7036B}" name="備註"/>
  </tableColumns>
  <tableStyleInfo name="TableStyleLight1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BABC127-542F-1F44-8CA5-2A9F6DE73448}" name="表格1_3345152535455565758596061626364656667686970717273" displayName="表格1_3345152535455565758596061626364656667686970717273" ref="A7:P101" totalsRowShown="0">
  <autoFilter ref="A7:P101" xr:uid="{C2F20F01-9FAC-4842-9173-BF61F68B3662}"/>
  <tableColumns count="16">
    <tableColumn id="1" xr3:uid="{1CA3FCBF-0B58-6A4A-9DA8-407795415A47}" name="購買人"/>
    <tableColumn id="2" xr3:uid="{5F38D23F-81AA-7C47-A658-9406859F8990}" name="綜合"/>
    <tableColumn id="3" xr3:uid="{59FB0DD7-946F-134D-9DCF-D90997BD8DFE}" name="原味"/>
    <tableColumn id="4" xr3:uid="{34A19095-9ECB-8C49-99BC-12909D2A6EE1}" name="可可"/>
    <tableColumn id="5" xr3:uid="{DBBA0B6F-157C-EE4F-B66D-FAFBDDBCED1A}" name="伯爵"/>
    <tableColumn id="6" xr3:uid="{DBA84CE9-0A94-1E40-9B71-C4A1DDF05552}" name="抹茶"/>
    <tableColumn id="7" xr3:uid="{7C087AE6-A4C9-A64A-95DA-D7657D275A95}" name="原味."/>
    <tableColumn id="8" xr3:uid="{B43F5DAF-ACC3-5E4E-8CBE-E74207614DAF}" name="可可."/>
    <tableColumn id="9" xr3:uid="{E9243D1C-6AF2-6145-9758-96AD70310638}" name="伯爵."/>
    <tableColumn id="10" xr3:uid="{89417996-0568-EE40-8A12-7F815180D065}" name="抹茶."/>
    <tableColumn id="11" xr3:uid="{4A414EC9-A8BE-5B43-A794-FA387770600B}" name="金額" dataDxfId="5">
      <calculatedColumnFormula>SUM(SUM(B8:F8)*360,SUM(G8:J8)*90)</calculatedColumnFormula>
    </tableColumn>
    <tableColumn id="12" xr3:uid="{525FCDCD-779A-D643-8814-0DF767D9B859}" name="運費"/>
    <tableColumn id="13" xr3:uid="{DC085854-B179-C44A-96F2-8ED9584DB647}" name="折讓金額"/>
    <tableColumn id="14" xr3:uid="{AFFEDE21-9A71-B04C-B5FD-C531DD0945A1}" name="實收金額">
      <calculatedColumnFormula>K8+L8-M8</calculatedColumnFormula>
    </tableColumn>
    <tableColumn id="16" xr3:uid="{D906BEDB-AD7B-E044-9EBD-44E4C13DC214}" name="欄1"/>
    <tableColumn id="15" xr3:uid="{1F19EE7C-180C-9241-91F2-50B693711DE3}" name="備註"/>
  </tableColumns>
  <tableStyleInfo name="TableStyleLight1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41054724-816B-AE43-84D3-AB064738DF56}" name="表格1_334515253545556575859606162636465666768697071727374" displayName="表格1_334515253545556575859606162636465666768697071727374" ref="A7:P101" totalsRowShown="0">
  <autoFilter ref="A7:P101" xr:uid="{C2F20F01-9FAC-4842-9173-BF61F68B3662}"/>
  <tableColumns count="16">
    <tableColumn id="1" xr3:uid="{D183A917-BB45-A140-B272-A12DE92C35BB}" name="購買人"/>
    <tableColumn id="2" xr3:uid="{0563293D-8817-4745-B7F4-F142CC7439FA}" name="綜合"/>
    <tableColumn id="3" xr3:uid="{E7900004-8BA0-1546-8583-C5FD201CA3BE}" name="原味"/>
    <tableColumn id="4" xr3:uid="{C9B2B700-62FB-3C49-98FA-071DF3776FC1}" name="可可"/>
    <tableColumn id="5" xr3:uid="{ED851CCB-FC2D-FA4E-AD07-557B664D0723}" name="伯爵"/>
    <tableColumn id="6" xr3:uid="{EC4F4738-A184-AF45-B858-1AA3339E0B81}" name="抹茶"/>
    <tableColumn id="7" xr3:uid="{D0EBEF54-FE1C-8F48-8F0F-9223BEF192DC}" name="原味."/>
    <tableColumn id="8" xr3:uid="{52A840EC-D257-A64F-B814-939D29F1EE75}" name="可可."/>
    <tableColumn id="9" xr3:uid="{3A1D7440-CB29-E04B-A840-F03C0DB44681}" name="伯爵."/>
    <tableColumn id="10" xr3:uid="{25647AD4-7850-DE45-91EF-63AE361F392D}" name="抹茶."/>
    <tableColumn id="11" xr3:uid="{13E37ABC-029E-374B-8831-25E16739E5A2}" name="金額" dataDxfId="4">
      <calculatedColumnFormula>SUM(SUM(B8:F8)*360,SUM(G8:J8)*90)</calculatedColumnFormula>
    </tableColumn>
    <tableColumn id="12" xr3:uid="{E5EE62E5-8556-A549-9DC6-F11654896941}" name="運費"/>
    <tableColumn id="13" xr3:uid="{788283BD-12D8-434D-A102-2EBBB6F8CF8F}" name="折讓金額"/>
    <tableColumn id="14" xr3:uid="{7CE8028F-453A-D349-9999-8D2C8BEA9875}" name="實收金額">
      <calculatedColumnFormula>K8+L8-M8</calculatedColumnFormula>
    </tableColumn>
    <tableColumn id="16" xr3:uid="{79ECE8CF-2A86-A940-A133-2CF8B04C6F94}" name="欄1"/>
    <tableColumn id="15" xr3:uid="{FCBAF49D-1DDC-BE42-962E-8A117BF764F2}" name="備註"/>
  </tableColumns>
  <tableStyleInfo name="TableStyleLight1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8376C4F2-75E1-8C41-83AC-5FE34EF00D53}" name="表格1_33451525354555657585960616263646566676869707172737475" displayName="表格1_33451525354555657585960616263646566676869707172737475" ref="A7:P101" totalsRowShown="0">
  <autoFilter ref="A7:P101" xr:uid="{C2F20F01-9FAC-4842-9173-BF61F68B3662}"/>
  <tableColumns count="16">
    <tableColumn id="1" xr3:uid="{6E7C7CBC-0E6A-AB48-A309-3BC89B3500AB}" name="購買人"/>
    <tableColumn id="2" xr3:uid="{E528A5D6-0919-5A4F-99E8-B790557B8715}" name="綜合"/>
    <tableColumn id="3" xr3:uid="{7968FF45-8EA7-E246-AFBC-37D6E0BE5417}" name="原味"/>
    <tableColumn id="4" xr3:uid="{6F091D93-A461-C645-9E57-EB18228D0DC9}" name="可可"/>
    <tableColumn id="5" xr3:uid="{FF3FF02E-2CBA-A546-885B-C9740F1B3D25}" name="伯爵"/>
    <tableColumn id="6" xr3:uid="{75481BEF-5F6B-8F44-B299-D599F1C87E26}" name="抹茶"/>
    <tableColumn id="7" xr3:uid="{8EA2EE54-C1B4-DE41-8CFB-92B36CC3BB65}" name="原味."/>
    <tableColumn id="8" xr3:uid="{36D65B28-7FCB-4748-B427-8534CDA069A7}" name="可可."/>
    <tableColumn id="9" xr3:uid="{D35F7B08-E7BB-C047-9339-5F73D7709719}" name="伯爵."/>
    <tableColumn id="10" xr3:uid="{99E48273-A4B6-3D48-BCD3-E7EBF90D90D7}" name="抹茶."/>
    <tableColumn id="11" xr3:uid="{09D9C310-3883-F74F-8B56-ABD668970230}" name="金額" dataDxfId="3">
      <calculatedColumnFormula>SUM(SUM(B8:F8)*360,SUM(G8:J8)*90)</calculatedColumnFormula>
    </tableColumn>
    <tableColumn id="12" xr3:uid="{5595FFF7-C087-6343-8B01-F17B3FC2F534}" name="運費"/>
    <tableColumn id="13" xr3:uid="{9C2EF103-FA2A-8247-BDD5-2434671E4C6C}" name="折讓金額"/>
    <tableColumn id="14" xr3:uid="{9E9A3552-ABCD-314F-AE49-BE8B93AC64C4}" name="實收金額">
      <calculatedColumnFormula>K8+L8-M8</calculatedColumnFormula>
    </tableColumn>
    <tableColumn id="16" xr3:uid="{38B52E40-0EED-E049-BDDD-9895DBAC7B21}" name="欄1"/>
    <tableColumn id="15" xr3:uid="{6C225A3B-3CA8-3B46-88BF-9ED9A490B20A}" name="備註"/>
  </tableColumns>
  <tableStyleInfo name="TableStyleLight1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2A938C1D-7620-7648-BAB7-1FB8A64DAAEA}" name="表格1_3345152535455565758596061626364656667686970717273747576" displayName="表格1_3345152535455565758596061626364656667686970717273747576" ref="A7:P101" totalsRowShown="0">
  <autoFilter ref="A7:P101" xr:uid="{C2F20F01-9FAC-4842-9173-BF61F68B3662}"/>
  <tableColumns count="16">
    <tableColumn id="1" xr3:uid="{2CE719FA-8380-2D42-A89D-3C7D016AEA14}" name="購買人"/>
    <tableColumn id="2" xr3:uid="{DAC84653-530C-FD41-B50E-B647799B7F21}" name="綜合"/>
    <tableColumn id="3" xr3:uid="{3A3BAFBF-D13F-9844-B7F2-897E76D38730}" name="原味"/>
    <tableColumn id="4" xr3:uid="{C91D8AF4-FDC9-EA45-832B-7F36B102E2B0}" name="可可"/>
    <tableColumn id="5" xr3:uid="{7BCFB72D-5431-FD45-90C9-6A0ADF62580D}" name="伯爵"/>
    <tableColumn id="6" xr3:uid="{C21A7CB8-5697-4945-B83F-ED317E16E6CE}" name="抹茶"/>
    <tableColumn id="7" xr3:uid="{66E2FBAA-5A15-0740-92D1-4C7C5E629164}" name="原味."/>
    <tableColumn id="8" xr3:uid="{B6213517-581F-C945-A562-39D8305DD957}" name="可可."/>
    <tableColumn id="9" xr3:uid="{CEBF0223-51B2-F945-A86B-D1E7B77DD049}" name="伯爵."/>
    <tableColumn id="10" xr3:uid="{0FB422FC-B02E-9D4E-A178-CA8D0D788954}" name="抹茶."/>
    <tableColumn id="11" xr3:uid="{FB5E7855-4766-1040-B7F5-55471303036C}" name="金額" dataDxfId="2">
      <calculatedColumnFormula>SUM(SUM(B8:F8)*360,SUM(G8:J8)*90)</calculatedColumnFormula>
    </tableColumn>
    <tableColumn id="12" xr3:uid="{870255AF-0237-4A40-880D-2F43B373B1EE}" name="運費"/>
    <tableColumn id="13" xr3:uid="{F5A0E391-5E5D-7741-9045-72B2450CE4C2}" name="折讓金額"/>
    <tableColumn id="14" xr3:uid="{70DC90A9-FC2A-D442-88E5-F66E001E6247}" name="實收金額">
      <calculatedColumnFormula>K8+L8-M8</calculatedColumnFormula>
    </tableColumn>
    <tableColumn id="16" xr3:uid="{B512CBE6-FF8D-474D-8B67-CA29CF8A218F}" name="欄1"/>
    <tableColumn id="15" xr3:uid="{A6684D39-C01E-7646-84E4-8EE1E60A330A}" name="備註"/>
  </tableColumns>
  <tableStyleInfo name="TableStyleLight1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B22A14BC-17EB-7447-8196-932B2520E635}" name="表格1_334515253545556575859606162636465666768697071727374757677" displayName="表格1_334515253545556575859606162636465666768697071727374757677" ref="A7:P101" totalsRowShown="0">
  <autoFilter ref="A7:P101" xr:uid="{C2F20F01-9FAC-4842-9173-BF61F68B3662}"/>
  <tableColumns count="16">
    <tableColumn id="1" xr3:uid="{E3EA9F21-9035-C640-A42C-D08B6EFED3C0}" name="購買人"/>
    <tableColumn id="2" xr3:uid="{E1097FF8-FA60-6740-A411-2CCB0530542E}" name="綜合"/>
    <tableColumn id="3" xr3:uid="{D8CC5FBD-49CA-344B-B322-1DE75DC5740A}" name="原味"/>
    <tableColumn id="4" xr3:uid="{06C45A76-6E51-AC41-A45B-5C932BAE2962}" name="可可"/>
    <tableColumn id="5" xr3:uid="{6F29DB6D-D3A2-6A41-AACA-BB1F0A21D0CD}" name="伯爵"/>
    <tableColumn id="6" xr3:uid="{D1633B76-CF71-E247-ABD7-DFBFEA4CE0C2}" name="抹茶"/>
    <tableColumn id="7" xr3:uid="{98FFEFB3-F140-5F49-9BC4-8DBDC40121E5}" name="原味."/>
    <tableColumn id="8" xr3:uid="{97ED29A5-D85F-A148-A35A-B6BBA03F1A05}" name="可可."/>
    <tableColumn id="9" xr3:uid="{CD54566E-4813-194A-BF6A-9C008EB7B727}" name="伯爵."/>
    <tableColumn id="10" xr3:uid="{20641FEE-C2F8-F84A-9700-423C67ABEBB3}" name="抹茶."/>
    <tableColumn id="11" xr3:uid="{19186FDD-07A4-E84B-AA33-181F833AFF92}" name="金額" dataDxfId="1">
      <calculatedColumnFormula>SUM(SUM(B8:F8)*360,SUM(G8:J8)*90)</calculatedColumnFormula>
    </tableColumn>
    <tableColumn id="12" xr3:uid="{AAAB5D1E-56E1-2044-908D-2692332AAA8A}" name="運費"/>
    <tableColumn id="13" xr3:uid="{40C37597-E902-0946-9786-CF1C99509BE6}" name="折讓金額"/>
    <tableColumn id="14" xr3:uid="{ACD33DB4-06B6-2247-B4E8-36898E4D9CC1}" name="實收金額">
      <calculatedColumnFormula>K8+L8-M8</calculatedColumnFormula>
    </tableColumn>
    <tableColumn id="16" xr3:uid="{1417764E-6C6C-6040-B390-91A099022EF8}" name="欄1"/>
    <tableColumn id="15" xr3:uid="{CC910507-8E6E-2441-9A1C-A921354E787E}" name="備註"/>
  </tableColumns>
  <tableStyleInfo name="TableStyleLight1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C36D0F7C-660B-6D44-8124-2D3C3E05345C}" name="表格1_33451525354555657585960616263646566676869707172737475767778" displayName="表格1_33451525354555657585960616263646566676869707172737475767778" ref="A7:P101" totalsRowShown="0">
  <autoFilter ref="A7:P101" xr:uid="{C2F20F01-9FAC-4842-9173-BF61F68B3662}"/>
  <tableColumns count="16">
    <tableColumn id="1" xr3:uid="{CF3F698A-93B0-484F-8013-2AA8448D1DF6}" name="購買人"/>
    <tableColumn id="2" xr3:uid="{9B7DB62E-FB97-434E-9D4D-A384F23591EE}" name="綜合"/>
    <tableColumn id="3" xr3:uid="{12C4469E-7563-BC4D-94EC-860270772068}" name="原味"/>
    <tableColumn id="4" xr3:uid="{4EA9C100-D5E1-A24B-940C-342C5A604768}" name="可可"/>
    <tableColumn id="5" xr3:uid="{C0CD7A88-76D8-6B44-8BA4-D697265A60D9}" name="伯爵"/>
    <tableColumn id="6" xr3:uid="{B1B30861-5D79-D34F-B646-DBFE73671AC0}" name="抹茶"/>
    <tableColumn id="7" xr3:uid="{2855912A-1DAA-7E44-8354-FB3F09355C4D}" name="原味."/>
    <tableColumn id="8" xr3:uid="{BC87C30B-3221-9340-91E1-E678840A76B8}" name="可可."/>
    <tableColumn id="9" xr3:uid="{03C81110-16D3-6C48-BBEC-69B41A6B5339}" name="伯爵."/>
    <tableColumn id="10" xr3:uid="{64B77EC4-ADDE-9141-A032-264C432B00C8}" name="抹茶."/>
    <tableColumn id="11" xr3:uid="{EBB29931-D902-2B41-B302-00B20F5C3E1F}" name="金額" dataDxfId="0">
      <calculatedColumnFormula>SUM(SUM(B8:F8)*360,SUM(G8:J8)*90)</calculatedColumnFormula>
    </tableColumn>
    <tableColumn id="12" xr3:uid="{79DFA022-185D-AD4A-952C-C4C9BF689B21}" name="運費"/>
    <tableColumn id="13" xr3:uid="{515C1A55-524C-D84C-B17B-B2334AEE505B}" name="折讓金額"/>
    <tableColumn id="14" xr3:uid="{1B0841B7-ACC6-5C45-9214-AF173305AEC0}" name="實收金額">
      <calculatedColumnFormula>K8+L8-M8</calculatedColumnFormula>
    </tableColumn>
    <tableColumn id="16" xr3:uid="{66339169-0D52-3447-82A0-298F4C3A0927}" name="欄1"/>
    <tableColumn id="15" xr3:uid="{7D300416-E336-F04F-99E5-AC7C1F382E6F}" name="備註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5BFC-E865-494B-A928-AC08CCCF033D}">
  <sheetPr codeName="工作表3"/>
  <dimension ref="A1:T148"/>
  <sheetViews>
    <sheetView topLeftCell="A20" zoomScale="83" workbookViewId="0">
      <selection activeCell="N20" sqref="N20"/>
    </sheetView>
  </sheetViews>
  <sheetFormatPr baseColWidth="10" defaultRowHeight="15"/>
  <cols>
    <col min="5" max="5" width="10.83203125" customWidth="1"/>
    <col min="6" max="6" width="15" customWidth="1"/>
    <col min="9" max="9" width="2.1640625" customWidth="1"/>
  </cols>
  <sheetData>
    <row r="1" spans="1:20" ht="15" customHeight="1">
      <c r="A1" s="98" t="s">
        <v>146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</row>
    <row r="2" spans="1:20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</row>
    <row r="3" spans="1:20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</row>
    <row r="4" spans="1:20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</row>
    <row r="5" spans="1:20" ht="15" customHeight="1">
      <c r="A5" s="100" t="s">
        <v>24</v>
      </c>
      <c r="B5" s="100"/>
      <c r="C5" s="100"/>
      <c r="D5" s="101" t="s">
        <v>147</v>
      </c>
      <c r="E5" s="102"/>
      <c r="F5" s="102"/>
      <c r="G5" s="94" t="s">
        <v>148</v>
      </c>
      <c r="H5" s="95"/>
      <c r="I5" s="95"/>
      <c r="J5" s="96" t="s">
        <v>149</v>
      </c>
      <c r="K5" s="97"/>
      <c r="L5" s="97"/>
      <c r="M5" s="103" t="s">
        <v>150</v>
      </c>
      <c r="N5" s="104"/>
      <c r="O5" s="92" t="s">
        <v>151</v>
      </c>
      <c r="P5" s="93"/>
      <c r="Q5" s="93"/>
      <c r="R5" s="93"/>
    </row>
    <row r="6" spans="1:20" ht="15" customHeight="1">
      <c r="A6" s="100"/>
      <c r="B6" s="100"/>
      <c r="C6" s="100"/>
      <c r="D6" s="102"/>
      <c r="E6" s="102"/>
      <c r="F6" s="102"/>
      <c r="G6" s="95"/>
      <c r="H6" s="95"/>
      <c r="I6" s="95"/>
      <c r="J6" s="97"/>
      <c r="K6" s="97"/>
      <c r="L6" s="97"/>
      <c r="M6" s="104"/>
      <c r="N6" s="104"/>
      <c r="O6" s="93"/>
      <c r="P6" s="93"/>
      <c r="Q6" s="93"/>
      <c r="R6" s="93"/>
    </row>
    <row r="7" spans="1:20" ht="15" customHeight="1">
      <c r="A7" s="105">
        <f>C18</f>
        <v>93582</v>
      </c>
      <c r="B7" s="105"/>
      <c r="C7" s="105"/>
      <c r="D7" s="106">
        <f ca="1">G26</f>
        <v>22111.236000000001</v>
      </c>
      <c r="E7" s="106"/>
      <c r="F7" s="106"/>
      <c r="G7" s="106">
        <f ca="1">G47</f>
        <v>96280.81</v>
      </c>
      <c r="H7" s="106"/>
      <c r="I7" s="106"/>
      <c r="J7" s="91">
        <f ca="1">A7-D7-G7</f>
        <v>-24810.046000000002</v>
      </c>
      <c r="K7" s="91"/>
      <c r="L7" s="91"/>
      <c r="M7" s="91">
        <f ca="1">J7/10</f>
        <v>-2481.0046000000002</v>
      </c>
      <c r="N7" s="91"/>
      <c r="O7" s="91">
        <f ca="1">J7-M7</f>
        <v>-22329.041400000002</v>
      </c>
      <c r="P7" s="91"/>
      <c r="Q7" s="91"/>
      <c r="R7" s="91"/>
    </row>
    <row r="8" spans="1:20" ht="15" customHeight="1">
      <c r="A8" s="105"/>
      <c r="B8" s="105"/>
      <c r="C8" s="105"/>
      <c r="D8" s="106"/>
      <c r="E8" s="106"/>
      <c r="F8" s="106"/>
      <c r="G8" s="106"/>
      <c r="H8" s="106"/>
      <c r="I8" s="106"/>
      <c r="J8" s="91"/>
      <c r="K8" s="91"/>
      <c r="L8" s="91"/>
      <c r="M8" s="91"/>
      <c r="N8" s="91"/>
      <c r="O8" s="91"/>
      <c r="P8" s="91"/>
      <c r="Q8" s="91"/>
      <c r="R8" s="91"/>
    </row>
    <row r="9" spans="1:20" ht="15" customHeight="1">
      <c r="A9" s="105"/>
      <c r="B9" s="105"/>
      <c r="C9" s="105"/>
      <c r="D9" s="106"/>
      <c r="E9" s="106"/>
      <c r="F9" s="106"/>
      <c r="G9" s="106"/>
      <c r="H9" s="106"/>
      <c r="I9" s="106"/>
      <c r="J9" s="91"/>
      <c r="K9" s="91"/>
      <c r="L9" s="91"/>
      <c r="M9" s="91"/>
      <c r="N9" s="91"/>
      <c r="O9" s="91"/>
      <c r="P9" s="91"/>
      <c r="Q9" s="91"/>
      <c r="R9" s="91"/>
    </row>
    <row r="10" spans="1:20" ht="15" customHeight="1"/>
    <row r="11" spans="1:20" ht="15" customHeight="1">
      <c r="A11" s="127" t="s">
        <v>145</v>
      </c>
      <c r="B11" s="128"/>
      <c r="C11" s="128"/>
      <c r="D11" s="128"/>
      <c r="E11" s="128"/>
      <c r="F11" s="128"/>
      <c r="G11" s="128"/>
      <c r="H11" s="128"/>
      <c r="J11" s="144" t="s">
        <v>152</v>
      </c>
      <c r="K11" s="144"/>
      <c r="L11" s="144"/>
      <c r="M11" s="144"/>
      <c r="N11" s="144"/>
      <c r="O11" s="144"/>
      <c r="P11" s="144"/>
      <c r="Q11" s="144"/>
      <c r="R11" s="144"/>
    </row>
    <row r="12" spans="1:20" ht="15" customHeight="1">
      <c r="A12" s="128"/>
      <c r="B12" s="128"/>
      <c r="C12" s="128"/>
      <c r="D12" s="128"/>
      <c r="E12" s="128"/>
      <c r="F12" s="128"/>
      <c r="G12" s="128"/>
      <c r="H12" s="128"/>
      <c r="J12" s="144"/>
      <c r="K12" s="144"/>
      <c r="L12" s="144"/>
      <c r="M12" s="144"/>
      <c r="N12" s="144"/>
      <c r="O12" s="144"/>
      <c r="P12" s="144"/>
      <c r="Q12" s="144"/>
      <c r="R12" s="144"/>
    </row>
    <row r="13" spans="1:20" ht="15" customHeight="1">
      <c r="A13" s="128"/>
      <c r="B13" s="128"/>
      <c r="C13" s="128"/>
      <c r="D13" s="128"/>
      <c r="E13" s="128"/>
      <c r="F13" s="128"/>
      <c r="G13" s="128"/>
      <c r="H13" s="128"/>
      <c r="J13" s="144"/>
      <c r="K13" s="144"/>
      <c r="L13" s="144"/>
      <c r="M13" s="144"/>
      <c r="N13" s="144"/>
      <c r="O13" s="144"/>
      <c r="P13" s="144"/>
      <c r="Q13" s="144"/>
      <c r="R13" s="144"/>
    </row>
    <row r="14" spans="1:20" ht="15" customHeight="1">
      <c r="A14" s="128"/>
      <c r="B14" s="128"/>
      <c r="C14" s="128"/>
      <c r="D14" s="128"/>
      <c r="E14" s="128"/>
      <c r="F14" s="128"/>
      <c r="G14" s="128"/>
      <c r="H14" s="128"/>
      <c r="J14" s="144"/>
      <c r="K14" s="144"/>
      <c r="L14" s="144"/>
      <c r="M14" s="144"/>
      <c r="N14" s="144"/>
      <c r="O14" s="144"/>
      <c r="P14" s="144"/>
      <c r="Q14" s="144"/>
      <c r="R14" s="144"/>
    </row>
    <row r="15" spans="1:20" ht="16" thickBot="1">
      <c r="A15" s="145" t="s">
        <v>61</v>
      </c>
      <c r="B15" s="146"/>
      <c r="C15" s="146"/>
      <c r="D15" s="146"/>
      <c r="E15" s="146"/>
      <c r="F15" s="146"/>
      <c r="G15" s="146"/>
      <c r="H15" s="147"/>
      <c r="K15" s="16" t="s">
        <v>153</v>
      </c>
      <c r="L15" s="16" t="s">
        <v>154</v>
      </c>
      <c r="M15" s="16" t="s">
        <v>155</v>
      </c>
      <c r="N15" s="16" t="s">
        <v>54</v>
      </c>
      <c r="O15" s="16" t="s">
        <v>84</v>
      </c>
      <c r="P15" s="16" t="s">
        <v>85</v>
      </c>
      <c r="Q15" s="16" t="s">
        <v>167</v>
      </c>
      <c r="R15" s="16" t="s">
        <v>24</v>
      </c>
    </row>
    <row r="16" spans="1:20">
      <c r="A16" s="174" t="s">
        <v>53</v>
      </c>
      <c r="B16" s="175"/>
      <c r="C16" s="163" t="s">
        <v>60</v>
      </c>
      <c r="D16" s="164"/>
      <c r="E16" s="164"/>
      <c r="F16" s="164"/>
      <c r="G16" s="130" t="s">
        <v>33</v>
      </c>
      <c r="H16" s="130"/>
      <c r="J16" t="s">
        <v>157</v>
      </c>
      <c r="K16" t="s">
        <v>17</v>
      </c>
      <c r="L16">
        <f ca="1">SUM('1:31'!T19)</f>
        <v>231</v>
      </c>
      <c r="M16">
        <v>360</v>
      </c>
      <c r="N16">
        <f>SUM(D25:D28)+D30+D31+((D32+D33)*4)</f>
        <v>58.905000000000001</v>
      </c>
      <c r="O16">
        <f>M16-N16</f>
        <v>301.09500000000003</v>
      </c>
      <c r="P16" s="66">
        <f t="shared" ref="P16:P23" si="0">O16/M16</f>
        <v>0.83637500000000009</v>
      </c>
      <c r="Q16" s="71"/>
      <c r="R16">
        <f ca="1">L16*M16</f>
        <v>83160</v>
      </c>
      <c r="S16" s="68" t="s">
        <v>17</v>
      </c>
      <c r="T16" s="69">
        <f ca="1">SUM(L16:L20)</f>
        <v>264</v>
      </c>
    </row>
    <row r="17" spans="1:20">
      <c r="A17" s="176">
        <f>SUM('1:31'!R10:S10)</f>
        <v>98538</v>
      </c>
      <c r="B17" s="177"/>
      <c r="C17" s="165"/>
      <c r="D17" s="166"/>
      <c r="E17" s="166"/>
      <c r="F17" s="166"/>
      <c r="G17" s="130"/>
      <c r="H17" s="130"/>
      <c r="J17" t="s">
        <v>158</v>
      </c>
      <c r="K17" t="s">
        <v>17</v>
      </c>
      <c r="L17">
        <f ca="1">SUM('1:31'!T20)</f>
        <v>12</v>
      </c>
      <c r="M17">
        <v>360</v>
      </c>
      <c r="N17">
        <f>SUM(D25,D32,D33)*4+D30+D31</f>
        <v>54.831000000000003</v>
      </c>
      <c r="O17">
        <f t="shared" ref="O17:O24" si="1">M17-N17</f>
        <v>305.16899999999998</v>
      </c>
      <c r="P17" s="66">
        <f t="shared" si="0"/>
        <v>0.84769166666666662</v>
      </c>
      <c r="Q17" s="71"/>
      <c r="R17">
        <f t="shared" ref="R17:R24" ca="1" si="2">L17*M17</f>
        <v>4320</v>
      </c>
      <c r="S17" s="69" t="s">
        <v>166</v>
      </c>
      <c r="T17" s="69">
        <f ca="1">SUM(L21:L24)</f>
        <v>22</v>
      </c>
    </row>
    <row r="18" spans="1:20">
      <c r="A18" s="178"/>
      <c r="B18" s="179"/>
      <c r="C18" s="167">
        <f>A17-B20-B21</f>
        <v>93582</v>
      </c>
      <c r="D18" s="168"/>
      <c r="E18" s="168"/>
      <c r="F18" s="168"/>
      <c r="G18" s="42" t="s">
        <v>46</v>
      </c>
      <c r="H18" s="43" t="s">
        <v>15</v>
      </c>
      <c r="J18" t="s">
        <v>159</v>
      </c>
      <c r="K18" t="s">
        <v>17</v>
      </c>
      <c r="L18">
        <f ca="1">SUM('1:31'!T21)</f>
        <v>7</v>
      </c>
      <c r="M18">
        <v>360</v>
      </c>
      <c r="N18">
        <f>SUM(D26,D32,D33)*4+D30+D31</f>
        <v>61.515000000000001</v>
      </c>
      <c r="O18">
        <f t="shared" si="1"/>
        <v>298.48500000000001</v>
      </c>
      <c r="P18" s="66">
        <f t="shared" si="0"/>
        <v>0.829125</v>
      </c>
      <c r="Q18" s="71"/>
      <c r="R18">
        <f t="shared" ca="1" si="2"/>
        <v>2520</v>
      </c>
    </row>
    <row r="19" spans="1:20">
      <c r="A19" s="174" t="s">
        <v>58</v>
      </c>
      <c r="B19" s="175"/>
      <c r="C19" s="167"/>
      <c r="D19" s="168"/>
      <c r="E19" s="168"/>
      <c r="F19" s="168"/>
      <c r="G19" s="44" t="s">
        <v>28</v>
      </c>
      <c r="H19" s="45">
        <f>SUM('1:31'!U13)</f>
        <v>41360</v>
      </c>
      <c r="J19" t="s">
        <v>160</v>
      </c>
      <c r="K19" t="s">
        <v>17</v>
      </c>
      <c r="L19">
        <f ca="1">SUM('1:31'!T22)</f>
        <v>10</v>
      </c>
      <c r="M19">
        <v>360</v>
      </c>
      <c r="N19">
        <f>SUM(D27,D32,D33)*4+D30+D31</f>
        <v>59.186999999999998</v>
      </c>
      <c r="O19">
        <f t="shared" si="1"/>
        <v>300.81299999999999</v>
      </c>
      <c r="P19" s="66">
        <f t="shared" si="0"/>
        <v>0.83559166666666662</v>
      </c>
      <c r="Q19" s="71"/>
      <c r="R19">
        <f t="shared" ca="1" si="2"/>
        <v>3600</v>
      </c>
    </row>
    <row r="20" spans="1:20">
      <c r="A20" s="23" t="s">
        <v>13</v>
      </c>
      <c r="B20" s="41">
        <f>SUM('1:31'!U10:V10)</f>
        <v>4236</v>
      </c>
      <c r="C20" s="167"/>
      <c r="D20" s="168"/>
      <c r="E20" s="168"/>
      <c r="F20" s="168"/>
      <c r="G20" s="46" t="s">
        <v>30</v>
      </c>
      <c r="H20" s="45">
        <f>SUM('1:31'!U14)</f>
        <v>5278</v>
      </c>
      <c r="J20" t="s">
        <v>161</v>
      </c>
      <c r="K20" t="s">
        <v>17</v>
      </c>
      <c r="L20">
        <f ca="1">SUM('1:31'!T23)</f>
        <v>4</v>
      </c>
      <c r="M20">
        <v>360</v>
      </c>
      <c r="N20">
        <f>SUM(D28,D32,D33)*4+D30+D31</f>
        <v>60.087000000000003</v>
      </c>
      <c r="O20">
        <f t="shared" si="1"/>
        <v>299.91300000000001</v>
      </c>
      <c r="P20" s="66">
        <f t="shared" si="0"/>
        <v>0.83309166666666667</v>
      </c>
      <c r="Q20" s="71"/>
      <c r="R20">
        <f t="shared" ca="1" si="2"/>
        <v>1440</v>
      </c>
    </row>
    <row r="21" spans="1:20" ht="16" thickBot="1">
      <c r="A21" s="23" t="s">
        <v>59</v>
      </c>
      <c r="B21" s="41">
        <f>SUM('1:31'!U11:V11)</f>
        <v>720</v>
      </c>
      <c r="C21" s="169"/>
      <c r="D21" s="170"/>
      <c r="E21" s="170"/>
      <c r="F21" s="170"/>
      <c r="G21" s="44" t="s">
        <v>108</v>
      </c>
      <c r="H21" s="47">
        <f>INDEX('31'!Y12:Z13,1,1)</f>
        <v>31984</v>
      </c>
      <c r="J21" t="s">
        <v>162</v>
      </c>
      <c r="K21" t="s">
        <v>166</v>
      </c>
      <c r="L21">
        <f ca="1">SUM('1:31'!T24)</f>
        <v>2</v>
      </c>
      <c r="M21">
        <v>90</v>
      </c>
      <c r="N21">
        <f>D25+D32+D33</f>
        <v>11.352</v>
      </c>
      <c r="O21">
        <f t="shared" si="1"/>
        <v>78.647999999999996</v>
      </c>
      <c r="P21" s="66">
        <f t="shared" si="0"/>
        <v>0.87386666666666657</v>
      </c>
      <c r="Q21" s="70">
        <f ca="1">M73</f>
        <v>0.11815561959654179</v>
      </c>
      <c r="R21">
        <f t="shared" ca="1" si="2"/>
        <v>180</v>
      </c>
    </row>
    <row r="22" spans="1:20">
      <c r="J22" t="s">
        <v>163</v>
      </c>
      <c r="K22" t="s">
        <v>166</v>
      </c>
      <c r="L22">
        <f ca="1">SUM('1:31'!T25)</f>
        <v>5</v>
      </c>
      <c r="M22">
        <v>90</v>
      </c>
      <c r="N22">
        <f>D26+D32+D33</f>
        <v>13.023</v>
      </c>
      <c r="O22">
        <f t="shared" si="1"/>
        <v>76.977000000000004</v>
      </c>
      <c r="P22" s="66">
        <f t="shared" si="0"/>
        <v>0.85530000000000006</v>
      </c>
      <c r="Q22" s="70">
        <f ca="1">M74</f>
        <v>2.3489932885906041E-2</v>
      </c>
      <c r="R22">
        <f t="shared" ca="1" si="2"/>
        <v>450</v>
      </c>
    </row>
    <row r="23" spans="1:20" ht="16" thickBot="1">
      <c r="A23" s="171" t="s">
        <v>144</v>
      </c>
      <c r="B23" s="172"/>
      <c r="C23" s="172"/>
      <c r="D23" s="172"/>
      <c r="E23" s="172"/>
      <c r="F23" s="172"/>
      <c r="G23" s="172"/>
      <c r="H23" s="173"/>
      <c r="J23" t="s">
        <v>164</v>
      </c>
      <c r="K23" t="s">
        <v>166</v>
      </c>
      <c r="L23">
        <f ca="1">SUM('1:31'!T26)</f>
        <v>7</v>
      </c>
      <c r="M23">
        <v>90</v>
      </c>
      <c r="N23">
        <f>D27+D32+D33</f>
        <v>12.440999999999999</v>
      </c>
      <c r="O23">
        <f t="shared" si="1"/>
        <v>77.558999999999997</v>
      </c>
      <c r="P23" s="66">
        <f t="shared" si="0"/>
        <v>0.86176666666666668</v>
      </c>
      <c r="Q23" s="70">
        <f ca="1">M75</f>
        <v>5.7324840764331211E-2</v>
      </c>
      <c r="R23">
        <f t="shared" ca="1" si="2"/>
        <v>630</v>
      </c>
    </row>
    <row r="24" spans="1:20">
      <c r="A24" s="160" t="s">
        <v>62</v>
      </c>
      <c r="B24" s="32"/>
      <c r="C24" s="33" t="s">
        <v>64</v>
      </c>
      <c r="D24" s="34" t="s">
        <v>65</v>
      </c>
      <c r="E24" s="33" t="s">
        <v>66</v>
      </c>
      <c r="F24" s="34" t="s">
        <v>83</v>
      </c>
      <c r="G24" s="151" t="s">
        <v>113</v>
      </c>
      <c r="H24" s="152"/>
      <c r="I24" s="52"/>
      <c r="J24" s="52" t="s">
        <v>165</v>
      </c>
      <c r="K24" t="s">
        <v>166</v>
      </c>
      <c r="L24">
        <f ca="1">SUM('1:31'!T27)</f>
        <v>8</v>
      </c>
      <c r="M24" s="52">
        <v>90</v>
      </c>
      <c r="N24" s="52">
        <f>D28+D32+D33</f>
        <v>12.666</v>
      </c>
      <c r="O24">
        <f t="shared" si="1"/>
        <v>77.334000000000003</v>
      </c>
      <c r="P24" s="66">
        <f>O24/M24</f>
        <v>0.85926666666666673</v>
      </c>
      <c r="Q24" s="70">
        <f ca="1">M76</f>
        <v>8.3044982698961933E-2</v>
      </c>
      <c r="R24">
        <f t="shared" ca="1" si="2"/>
        <v>720</v>
      </c>
    </row>
    <row r="25" spans="1:20" ht="16" thickBot="1">
      <c r="A25" s="161"/>
      <c r="B25" s="25" t="s">
        <v>68</v>
      </c>
      <c r="C25" s="24">
        <f ca="1">SUM(SUM('1:31'!T20)*4,'1:31'!T24,'1:31'!T19)</f>
        <v>281</v>
      </c>
      <c r="D25" s="24">
        <f>[1]可麗露!$L$8</f>
        <v>9.7520000000000007</v>
      </c>
      <c r="E25" s="24">
        <f ca="1">ROUND(D25*C25,3)</f>
        <v>2740.3119999999999</v>
      </c>
      <c r="F25" s="155">
        <f ca="1">SUM(E25:E28)</f>
        <v>11591.611999999999</v>
      </c>
      <c r="G25" s="153"/>
      <c r="H25" s="154"/>
    </row>
    <row r="26" spans="1:20" ht="15" customHeight="1">
      <c r="A26" s="161"/>
      <c r="B26" s="26" t="s">
        <v>69</v>
      </c>
      <c r="C26" s="24">
        <f ca="1">SUM(SUM('1:31'!T21)*4,'1:31'!T25,'1:31'!T19)</f>
        <v>264</v>
      </c>
      <c r="D26" s="24">
        <f>[1]可麗露!$M$8</f>
        <v>11.423</v>
      </c>
      <c r="E26" s="24">
        <f ca="1">ROUND(D26*C26,3)</f>
        <v>3015.672</v>
      </c>
      <c r="F26" s="155"/>
      <c r="G26" s="142">
        <f ca="1">SUM(F25,F30,E36,F38)</f>
        <v>22111.236000000001</v>
      </c>
      <c r="H26" s="143"/>
      <c r="J26" s="90" t="s">
        <v>168</v>
      </c>
      <c r="K26" s="90"/>
      <c r="L26" s="90"/>
      <c r="M26" s="90"/>
      <c r="N26" s="90"/>
      <c r="O26" s="90"/>
      <c r="P26" s="90"/>
      <c r="Q26" s="90"/>
      <c r="R26" s="90"/>
    </row>
    <row r="27" spans="1:20" ht="15" customHeight="1">
      <c r="A27" s="161"/>
      <c r="B27" s="25" t="s">
        <v>70</v>
      </c>
      <c r="C27" s="24">
        <f ca="1">SUM(SUM('1:31'!T22)*4,'1:31'!T26,'1:31'!T19)</f>
        <v>278</v>
      </c>
      <c r="D27" s="24">
        <f>[1]可麗露!$N$8</f>
        <v>10.840999999999999</v>
      </c>
      <c r="E27" s="24">
        <f ca="1">ROUND(D27*C27,3)</f>
        <v>3013.7979999999998</v>
      </c>
      <c r="F27" s="155"/>
      <c r="G27" s="116"/>
      <c r="H27" s="117"/>
      <c r="J27" s="90"/>
      <c r="K27" s="90"/>
      <c r="L27" s="90"/>
      <c r="M27" s="90"/>
      <c r="N27" s="90"/>
      <c r="O27" s="90"/>
      <c r="P27" s="90"/>
      <c r="Q27" s="90"/>
      <c r="R27" s="90"/>
    </row>
    <row r="28" spans="1:20" ht="15" customHeight="1">
      <c r="A28" s="162"/>
      <c r="B28" s="35" t="s">
        <v>71</v>
      </c>
      <c r="C28" s="36">
        <f ca="1">SUM(SUM('1:31'!T23)*4,'1:31'!T27,'1:31'!T19)</f>
        <v>255</v>
      </c>
      <c r="D28" s="36">
        <f>[1]可麗露!$M$10</f>
        <v>11.066000000000001</v>
      </c>
      <c r="E28" s="36">
        <f ca="1">ROUND(D28*C28,3)</f>
        <v>2821.83</v>
      </c>
      <c r="F28" s="156"/>
      <c r="G28" s="116"/>
      <c r="H28" s="117"/>
      <c r="J28" s="90"/>
      <c r="K28" s="90"/>
      <c r="L28" s="90"/>
      <c r="M28" s="90"/>
      <c r="N28" s="90"/>
      <c r="O28" s="90"/>
      <c r="P28" s="90"/>
      <c r="Q28" s="90"/>
      <c r="R28" s="90"/>
    </row>
    <row r="29" spans="1:20" ht="15" customHeight="1">
      <c r="A29" s="157" t="s">
        <v>72</v>
      </c>
      <c r="B29" s="32"/>
      <c r="C29" s="37" t="s">
        <v>77</v>
      </c>
      <c r="D29" s="38" t="s">
        <v>78</v>
      </c>
      <c r="E29" s="37" t="s">
        <v>67</v>
      </c>
      <c r="F29" s="38" t="s">
        <v>83</v>
      </c>
      <c r="G29" s="116"/>
      <c r="H29" s="117"/>
      <c r="J29" s="90"/>
      <c r="K29" s="90"/>
      <c r="L29" s="90"/>
      <c r="M29" s="90"/>
      <c r="N29" s="90"/>
      <c r="O29" s="90"/>
      <c r="P29" s="90"/>
      <c r="Q29" s="90"/>
      <c r="R29" s="90"/>
    </row>
    <row r="30" spans="1:20" s="52" customFormat="1" ht="15" customHeight="1">
      <c r="A30" s="158"/>
      <c r="B30" s="25" t="s">
        <v>17</v>
      </c>
      <c r="C30" s="24">
        <f ca="1">SUM('1:31'!V19)</f>
        <v>266</v>
      </c>
      <c r="D30" s="2">
        <v>6.423</v>
      </c>
      <c r="E30" s="24">
        <f ca="1">D30*C30</f>
        <v>1708.518</v>
      </c>
      <c r="F30" s="114">
        <f ca="1">SUM(E30:E33)</f>
        <v>4231.3180000000002</v>
      </c>
      <c r="G30" s="116"/>
      <c r="H30" s="117"/>
      <c r="I30"/>
      <c r="J30" s="90"/>
      <c r="K30" s="90"/>
      <c r="L30" s="90"/>
      <c r="M30" s="90"/>
      <c r="N30" s="90"/>
      <c r="O30" s="90"/>
      <c r="P30" s="90"/>
      <c r="Q30" s="90"/>
      <c r="R30" s="90"/>
    </row>
    <row r="31" spans="1:20" ht="15" customHeight="1">
      <c r="A31" s="158"/>
      <c r="B31" s="26" t="s">
        <v>75</v>
      </c>
      <c r="C31" s="24">
        <f ca="1">SUM('1:31'!V19)</f>
        <v>266</v>
      </c>
      <c r="D31" s="2">
        <v>3</v>
      </c>
      <c r="E31" s="24">
        <f ca="1">D31*C31</f>
        <v>798</v>
      </c>
      <c r="F31" s="114"/>
      <c r="G31" s="116"/>
      <c r="H31" s="117"/>
      <c r="J31" s="90"/>
      <c r="K31" s="90"/>
      <c r="L31" s="90"/>
      <c r="M31" s="90"/>
      <c r="N31" s="90"/>
      <c r="O31" s="90"/>
      <c r="P31" s="90"/>
      <c r="Q31" s="90"/>
      <c r="R31" s="90"/>
    </row>
    <row r="32" spans="1:20" ht="15" customHeight="1">
      <c r="A32" s="158"/>
      <c r="B32" s="25" t="s">
        <v>73</v>
      </c>
      <c r="C32" s="2">
        <f ca="1">SUM(C25:C28)</f>
        <v>1078</v>
      </c>
      <c r="D32" s="2">
        <v>1.1000000000000001</v>
      </c>
      <c r="E32" s="24">
        <f ca="1">D32*C32</f>
        <v>1185.8000000000002</v>
      </c>
      <c r="F32" s="114"/>
      <c r="G32" s="116"/>
      <c r="H32" s="117"/>
      <c r="J32" s="90"/>
      <c r="K32" s="90"/>
      <c r="L32" s="90"/>
      <c r="M32" s="90"/>
      <c r="N32" s="90"/>
      <c r="O32" s="90"/>
      <c r="P32" s="90"/>
      <c r="Q32" s="90"/>
      <c r="R32" s="90"/>
    </row>
    <row r="33" spans="1:18" ht="15" customHeight="1">
      <c r="A33" s="158"/>
      <c r="B33" s="26" t="s">
        <v>74</v>
      </c>
      <c r="C33" s="2">
        <f ca="1">SUM(C25:C28)</f>
        <v>1078</v>
      </c>
      <c r="D33" s="2">
        <v>0.5</v>
      </c>
      <c r="E33" s="24">
        <f ca="1">D33*C33</f>
        <v>539</v>
      </c>
      <c r="F33" s="114"/>
      <c r="G33" s="116"/>
      <c r="H33" s="117"/>
      <c r="J33" s="90"/>
      <c r="K33" s="90"/>
      <c r="L33" s="90"/>
      <c r="M33" s="90"/>
      <c r="N33" s="90"/>
      <c r="O33" s="90"/>
      <c r="P33" s="90"/>
      <c r="Q33" s="90"/>
      <c r="R33" s="90"/>
    </row>
    <row r="34" spans="1:18" ht="15" customHeight="1">
      <c r="A34" s="159"/>
      <c r="B34" s="39" t="s">
        <v>76</v>
      </c>
      <c r="C34" s="9"/>
      <c r="D34" s="9"/>
      <c r="E34" s="9"/>
      <c r="F34" s="115"/>
      <c r="G34" s="116"/>
      <c r="H34" s="117"/>
      <c r="J34" s="90"/>
      <c r="K34" s="90"/>
      <c r="L34" s="90"/>
      <c r="M34" s="90"/>
      <c r="N34" s="90"/>
      <c r="O34" s="90"/>
      <c r="P34" s="90"/>
      <c r="Q34" s="90"/>
      <c r="R34" s="90"/>
    </row>
    <row r="35" spans="1:18" ht="15" customHeight="1">
      <c r="A35" s="148" t="s">
        <v>80</v>
      </c>
      <c r="B35" s="40"/>
      <c r="C35" s="38" t="s">
        <v>82</v>
      </c>
      <c r="D35" s="37" t="s">
        <v>51</v>
      </c>
      <c r="E35" s="150" t="s">
        <v>83</v>
      </c>
      <c r="F35" s="150"/>
      <c r="G35" s="116"/>
      <c r="H35" s="117"/>
      <c r="J35" s="90"/>
      <c r="K35" s="90"/>
      <c r="L35" s="90"/>
      <c r="M35" s="90"/>
      <c r="N35" s="90"/>
      <c r="O35" s="90"/>
      <c r="P35" s="90"/>
      <c r="Q35" s="90"/>
      <c r="R35" s="90"/>
    </row>
    <row r="36" spans="1:18" ht="15" customHeight="1">
      <c r="A36" s="149"/>
      <c r="B36" s="39" t="s">
        <v>15</v>
      </c>
      <c r="C36" s="9">
        <f>-SUM('1:31'!Y21)</f>
        <v>4848</v>
      </c>
      <c r="D36" s="9">
        <f>SUM('1:31'!Y20:Z20)</f>
        <v>40</v>
      </c>
      <c r="E36" s="115">
        <f>SUM(C36:D36)</f>
        <v>4888</v>
      </c>
      <c r="F36" s="115"/>
      <c r="G36" s="116"/>
      <c r="H36" s="117"/>
      <c r="J36" s="90"/>
      <c r="K36" s="90"/>
      <c r="L36" s="90"/>
      <c r="M36" s="90"/>
      <c r="N36" s="90"/>
      <c r="O36" s="90"/>
      <c r="P36" s="90"/>
      <c r="Q36" s="90"/>
      <c r="R36" s="90"/>
    </row>
    <row r="37" spans="1:18" ht="15" customHeight="1">
      <c r="A37" s="131" t="s">
        <v>193</v>
      </c>
      <c r="C37" s="37" t="s">
        <v>194</v>
      </c>
      <c r="D37" s="38" t="s">
        <v>67</v>
      </c>
      <c r="E37" s="37" t="s">
        <v>195</v>
      </c>
      <c r="F37" s="38" t="s">
        <v>83</v>
      </c>
      <c r="G37" s="116"/>
      <c r="H37" s="117"/>
      <c r="J37" s="90"/>
      <c r="K37" s="90"/>
      <c r="L37" s="90"/>
      <c r="M37" s="90"/>
      <c r="N37" s="90"/>
      <c r="O37" s="90"/>
      <c r="P37" s="90"/>
      <c r="Q37" s="90"/>
      <c r="R37" s="90"/>
    </row>
    <row r="38" spans="1:18" ht="15" customHeight="1">
      <c r="A38" s="132"/>
      <c r="B38" s="25" t="s">
        <v>68</v>
      </c>
      <c r="C38">
        <f ca="1">O60</f>
        <v>32</v>
      </c>
      <c r="D38">
        <f ca="1">C38*D25</f>
        <v>312.06400000000002</v>
      </c>
      <c r="E38" s="134">
        <f ca="1">SUM(O58:O64)/SUM(K73:K76)</f>
        <v>0.12980769230769232</v>
      </c>
      <c r="F38" s="90">
        <f ca="1">SUM(D38:D41)</f>
        <v>1400.306</v>
      </c>
      <c r="G38" s="116"/>
      <c r="H38" s="117"/>
      <c r="J38" s="90"/>
      <c r="K38" s="90"/>
      <c r="L38" s="90"/>
      <c r="M38" s="90"/>
      <c r="N38" s="90"/>
      <c r="O38" s="90"/>
      <c r="P38" s="90"/>
      <c r="Q38" s="90"/>
      <c r="R38" s="90"/>
    </row>
    <row r="39" spans="1:18" ht="15" customHeight="1">
      <c r="A39" s="132"/>
      <c r="B39" s="26" t="s">
        <v>69</v>
      </c>
      <c r="C39">
        <f ca="1">O60</f>
        <v>32</v>
      </c>
      <c r="D39">
        <f ca="1">C39*D26</f>
        <v>365.536</v>
      </c>
      <c r="E39" s="134"/>
      <c r="F39" s="90"/>
      <c r="G39" s="116"/>
      <c r="H39" s="117"/>
    </row>
    <row r="40" spans="1:18" ht="15" customHeight="1">
      <c r="A40" s="132"/>
      <c r="B40" s="25" t="s">
        <v>70</v>
      </c>
      <c r="C40">
        <f ca="1">O62</f>
        <v>34</v>
      </c>
      <c r="D40">
        <f ca="1">C40*D27</f>
        <v>368.59399999999999</v>
      </c>
      <c r="E40" s="134"/>
      <c r="F40" s="90"/>
      <c r="G40" s="116"/>
      <c r="H40" s="117"/>
      <c r="J40" s="90" t="s">
        <v>169</v>
      </c>
      <c r="K40" s="90"/>
      <c r="L40" s="90"/>
      <c r="M40" s="90"/>
      <c r="N40" s="90"/>
      <c r="O40" s="90"/>
      <c r="P40" s="90"/>
      <c r="Q40" s="90"/>
      <c r="R40" s="90"/>
    </row>
    <row r="41" spans="1:18" ht="15" customHeight="1" thickBot="1">
      <c r="A41" s="133"/>
      <c r="B41" s="35" t="s">
        <v>71</v>
      </c>
      <c r="C41">
        <f ca="1">O64</f>
        <v>32</v>
      </c>
      <c r="D41">
        <f ca="1">C41*D28</f>
        <v>354.11200000000002</v>
      </c>
      <c r="E41" s="135"/>
      <c r="F41" s="115"/>
      <c r="G41" s="118"/>
      <c r="H41" s="119"/>
      <c r="J41" s="90"/>
      <c r="K41" s="90"/>
      <c r="L41" s="90"/>
      <c r="M41" s="90"/>
      <c r="N41" s="90"/>
      <c r="O41" s="90"/>
      <c r="P41" s="90"/>
      <c r="Q41" s="90"/>
      <c r="R41" s="90"/>
    </row>
    <row r="42" spans="1:18" ht="16" customHeight="1">
      <c r="A42" s="136" t="s">
        <v>84</v>
      </c>
      <c r="B42" s="137"/>
      <c r="C42" s="139">
        <f ca="1">C18-G26</f>
        <v>71470.763999999996</v>
      </c>
      <c r="D42" s="139"/>
      <c r="E42" s="138" t="s">
        <v>85</v>
      </c>
      <c r="F42" s="138"/>
      <c r="G42" s="140">
        <f ca="1">C42/C18</f>
        <v>0.76372340834775909</v>
      </c>
      <c r="H42" s="141"/>
      <c r="J42" s="90"/>
      <c r="K42" s="90"/>
      <c r="L42" s="90"/>
      <c r="M42" s="90"/>
      <c r="N42" s="90"/>
      <c r="O42" s="90"/>
      <c r="P42" s="90"/>
      <c r="Q42" s="90"/>
      <c r="R42" s="90"/>
    </row>
    <row r="43" spans="1:18" ht="15" customHeight="1">
      <c r="A43" s="22"/>
      <c r="J43" s="90"/>
      <c r="K43" s="90"/>
      <c r="L43" s="90"/>
      <c r="M43" s="90"/>
      <c r="N43" s="90"/>
      <c r="O43" s="90"/>
      <c r="P43" s="90"/>
      <c r="Q43" s="90"/>
      <c r="R43" s="90"/>
    </row>
    <row r="44" spans="1:18" ht="15" customHeight="1" thickBot="1">
      <c r="A44" s="129" t="s">
        <v>119</v>
      </c>
      <c r="B44" s="129"/>
      <c r="C44" s="129"/>
      <c r="D44" s="129"/>
      <c r="E44" s="129"/>
      <c r="F44" s="129"/>
      <c r="G44" s="129"/>
      <c r="H44" s="129"/>
      <c r="J44" s="90"/>
      <c r="K44" s="90"/>
      <c r="L44" s="90"/>
      <c r="M44" s="90"/>
      <c r="N44" s="90"/>
      <c r="O44" s="90"/>
      <c r="P44" s="90"/>
      <c r="Q44" s="90"/>
      <c r="R44" s="90"/>
    </row>
    <row r="45" spans="1:18">
      <c r="A45" s="121" t="s">
        <v>132</v>
      </c>
      <c r="B45" s="53" t="s">
        <v>81</v>
      </c>
      <c r="C45" s="54" t="s">
        <v>15</v>
      </c>
      <c r="D45" s="53" t="s">
        <v>81</v>
      </c>
      <c r="E45" s="54" t="s">
        <v>15</v>
      </c>
      <c r="F45" s="53" t="s">
        <v>83</v>
      </c>
      <c r="G45" s="123" t="s">
        <v>139</v>
      </c>
      <c r="H45" s="124"/>
      <c r="J45" s="90"/>
      <c r="K45" s="90"/>
      <c r="L45" s="90"/>
      <c r="M45" s="90"/>
      <c r="N45" s="90"/>
      <c r="O45" s="90"/>
      <c r="P45" s="90"/>
      <c r="Q45" s="90"/>
      <c r="R45" s="90"/>
    </row>
    <row r="46" spans="1:18">
      <c r="A46" s="122"/>
      <c r="B46" s="55" t="s">
        <v>120</v>
      </c>
      <c r="C46" s="2">
        <v>34133</v>
      </c>
      <c r="D46" s="55" t="s">
        <v>126</v>
      </c>
      <c r="E46" s="2"/>
      <c r="F46" s="114">
        <f>SUM(SUM(C46:C50),SUM(E46:E50),SUM(D51:E52))</f>
        <v>49123</v>
      </c>
      <c r="G46" s="125"/>
      <c r="H46" s="126"/>
      <c r="J46" s="90"/>
      <c r="K46" s="90"/>
      <c r="L46" s="90"/>
      <c r="M46" s="90"/>
      <c r="N46" s="90"/>
      <c r="O46" s="90"/>
      <c r="P46" s="90"/>
      <c r="Q46" s="90"/>
      <c r="R46" s="90"/>
    </row>
    <row r="47" spans="1:18">
      <c r="A47" s="122"/>
      <c r="B47" s="56" t="s">
        <v>121</v>
      </c>
      <c r="C47" s="2">
        <v>10000</v>
      </c>
      <c r="D47" s="56" t="s">
        <v>127</v>
      </c>
      <c r="E47" s="2"/>
      <c r="F47" s="114"/>
      <c r="G47" s="116">
        <f ca="1">F46+F54</f>
        <v>96280.81</v>
      </c>
      <c r="H47" s="117"/>
      <c r="J47" s="90"/>
      <c r="K47" s="90"/>
      <c r="L47" s="90"/>
      <c r="M47" s="90"/>
      <c r="N47" s="90"/>
      <c r="O47" s="90"/>
      <c r="P47" s="90"/>
      <c r="Q47" s="90"/>
      <c r="R47" s="90"/>
    </row>
    <row r="48" spans="1:18">
      <c r="A48" s="122"/>
      <c r="B48" s="55" t="s">
        <v>122</v>
      </c>
      <c r="C48" s="2"/>
      <c r="D48" s="55" t="s">
        <v>128</v>
      </c>
      <c r="E48" s="2">
        <v>2000</v>
      </c>
      <c r="F48" s="114"/>
      <c r="G48" s="116"/>
      <c r="H48" s="117"/>
      <c r="J48" s="90"/>
      <c r="K48" s="90"/>
      <c r="L48" s="90"/>
      <c r="M48" s="90"/>
      <c r="N48" s="90"/>
      <c r="O48" s="90"/>
      <c r="P48" s="90"/>
      <c r="Q48" s="90"/>
      <c r="R48" s="90"/>
    </row>
    <row r="49" spans="1:18">
      <c r="A49" s="122"/>
      <c r="B49" s="56" t="s">
        <v>123</v>
      </c>
      <c r="C49" s="2"/>
      <c r="D49" s="56" t="s">
        <v>129</v>
      </c>
      <c r="E49" s="2"/>
      <c r="F49" s="114"/>
      <c r="G49" s="116"/>
      <c r="H49" s="117"/>
      <c r="J49" s="90"/>
      <c r="K49" s="90"/>
      <c r="L49" s="90"/>
      <c r="M49" s="90"/>
      <c r="N49" s="90"/>
      <c r="O49" s="90"/>
      <c r="P49" s="90"/>
      <c r="Q49" s="90"/>
      <c r="R49" s="90"/>
    </row>
    <row r="50" spans="1:18">
      <c r="A50" s="122"/>
      <c r="B50" s="55" t="s">
        <v>124</v>
      </c>
      <c r="C50" s="2"/>
      <c r="D50" s="55" t="s">
        <v>190</v>
      </c>
      <c r="E50" s="2">
        <v>2000</v>
      </c>
      <c r="F50" s="114"/>
      <c r="G50" s="116"/>
      <c r="H50" s="117"/>
      <c r="J50" s="90"/>
      <c r="K50" s="90"/>
      <c r="L50" s="90"/>
      <c r="M50" s="90"/>
      <c r="N50" s="90"/>
      <c r="O50" s="90"/>
      <c r="P50" s="90"/>
      <c r="Q50" s="90"/>
      <c r="R50" s="90"/>
    </row>
    <row r="51" spans="1:18">
      <c r="A51" s="122"/>
      <c r="B51" s="120" t="s">
        <v>125</v>
      </c>
      <c r="C51" s="55" t="s">
        <v>130</v>
      </c>
      <c r="D51" s="109">
        <v>990</v>
      </c>
      <c r="E51" s="109"/>
      <c r="F51" s="114"/>
      <c r="G51" s="116"/>
      <c r="H51" s="117"/>
      <c r="J51" s="90"/>
      <c r="K51" s="90"/>
      <c r="L51" s="90"/>
      <c r="M51" s="90"/>
      <c r="N51" s="90"/>
      <c r="O51" s="90"/>
      <c r="P51" s="90"/>
      <c r="Q51" s="90"/>
      <c r="R51" s="90"/>
    </row>
    <row r="52" spans="1:18">
      <c r="A52" s="122"/>
      <c r="B52" s="120"/>
      <c r="C52" s="55" t="s">
        <v>131</v>
      </c>
      <c r="D52" s="109"/>
      <c r="E52" s="109"/>
      <c r="F52" s="114"/>
      <c r="G52" s="116"/>
      <c r="H52" s="117"/>
      <c r="J52" s="90"/>
      <c r="K52" s="90"/>
      <c r="L52" s="90"/>
      <c r="M52" s="90"/>
      <c r="N52" s="90"/>
      <c r="O52" s="90"/>
      <c r="P52" s="90"/>
      <c r="Q52" s="90"/>
      <c r="R52" s="90"/>
    </row>
    <row r="53" spans="1:18">
      <c r="A53" s="111" t="s">
        <v>133</v>
      </c>
      <c r="B53" s="57" t="s">
        <v>81</v>
      </c>
      <c r="C53" s="58" t="s">
        <v>15</v>
      </c>
      <c r="D53" s="57" t="s">
        <v>81</v>
      </c>
      <c r="E53" s="58" t="s">
        <v>15</v>
      </c>
      <c r="F53" s="57" t="s">
        <v>83</v>
      </c>
      <c r="G53" s="116"/>
      <c r="H53" s="117"/>
      <c r="J53" s="90"/>
      <c r="K53" s="90"/>
      <c r="L53" s="90"/>
      <c r="M53" s="90"/>
      <c r="N53" s="90"/>
      <c r="O53" s="90"/>
      <c r="P53" s="90"/>
      <c r="Q53" s="90"/>
      <c r="R53" s="90"/>
    </row>
    <row r="54" spans="1:18">
      <c r="A54" s="112"/>
      <c r="B54" s="56" t="s">
        <v>134</v>
      </c>
      <c r="C54" s="2">
        <v>47040</v>
      </c>
      <c r="D54" s="56" t="s">
        <v>136</v>
      </c>
      <c r="E54" s="2"/>
      <c r="F54" s="114">
        <f ca="1">SUM(SUM(C54:C56),SUM(E54:E58))</f>
        <v>47157.81</v>
      </c>
      <c r="G54" s="116"/>
      <c r="H54" s="117"/>
    </row>
    <row r="55" spans="1:18">
      <c r="A55" s="112"/>
      <c r="B55" s="55" t="s">
        <v>135</v>
      </c>
      <c r="C55" s="2"/>
      <c r="D55" s="55" t="s">
        <v>137</v>
      </c>
      <c r="E55" s="2"/>
      <c r="F55" s="114"/>
      <c r="G55" s="116"/>
      <c r="H55" s="117"/>
      <c r="J55" s="90" t="s">
        <v>175</v>
      </c>
      <c r="K55" s="90"/>
      <c r="L55" s="90"/>
      <c r="M55" s="90"/>
      <c r="N55" s="90"/>
      <c r="O55" s="90"/>
      <c r="P55" s="90"/>
      <c r="Q55" s="90"/>
      <c r="R55" s="90"/>
    </row>
    <row r="56" spans="1:18">
      <c r="A56" s="112"/>
      <c r="B56" s="56" t="s">
        <v>140</v>
      </c>
      <c r="C56" s="2"/>
      <c r="D56" s="56" t="s">
        <v>138</v>
      </c>
      <c r="E56" s="2"/>
      <c r="F56" s="114"/>
      <c r="G56" s="116"/>
      <c r="H56" s="117"/>
      <c r="J56" s="90"/>
      <c r="K56" s="90"/>
      <c r="L56" s="90"/>
      <c r="M56" s="90"/>
      <c r="N56" s="90"/>
      <c r="O56" s="90"/>
      <c r="P56" s="90"/>
      <c r="Q56" s="90"/>
      <c r="R56" s="90"/>
    </row>
    <row r="57" spans="1:18">
      <c r="A57" s="112"/>
      <c r="B57" s="107" t="s">
        <v>55</v>
      </c>
      <c r="C57" s="63" t="s">
        <v>63</v>
      </c>
      <c r="D57" s="2">
        <f ca="1">('31'!AC41*月報表!D25)+('31'!AC42*月報表!D26)+('31'!AC43*D27)+('31'!AC44*D28)</f>
        <v>86.164000000000001</v>
      </c>
      <c r="E57" s="109">
        <f ca="1">SUM(D57:D59)</f>
        <v>117.81</v>
      </c>
      <c r="F57" s="114"/>
      <c r="G57" s="116"/>
      <c r="H57" s="117"/>
      <c r="K57" s="16" t="s">
        <v>170</v>
      </c>
      <c r="L57" s="16" t="s">
        <v>171</v>
      </c>
      <c r="M57" s="16" t="s">
        <v>172</v>
      </c>
      <c r="N57" s="16" t="s">
        <v>173</v>
      </c>
      <c r="O57" s="16" t="s">
        <v>174</v>
      </c>
      <c r="P57" s="90"/>
      <c r="Q57" s="90"/>
      <c r="R57" s="90"/>
    </row>
    <row r="58" spans="1:18">
      <c r="A58" s="112"/>
      <c r="B58" s="107"/>
      <c r="C58" s="64" t="s">
        <v>72</v>
      </c>
      <c r="D58" s="2">
        <f ca="1">'31'!AC39*SUM(月報表!D30:D31)+(SUM('31'!AC41:AC44)*SUM(D32:D33))</f>
        <v>31.646000000000001</v>
      </c>
      <c r="E58" s="109"/>
      <c r="F58" s="114"/>
      <c r="G58" s="116"/>
      <c r="H58" s="117"/>
      <c r="J58" s="90" t="s">
        <v>4</v>
      </c>
      <c r="K58" s="90" cm="1">
        <f t="array" aca="1" ref="K58" ca="1">SUMPRODUCT(SUMIFS(INDIRECT("'"&amp;日期清單&amp;"'!s40:s55"),INDIRECT("'"&amp;日期清單&amp;"'!R40:r55"),"原味",INDIRECT("'"&amp;日期清單&amp;"'!t40:T55"),"人為"))</f>
        <v>17</v>
      </c>
      <c r="L58" s="90" cm="1">
        <f t="array" aca="1" ref="L58" ca="1">SUMPRODUCT(SUMIFS(INDIRECT("'"&amp;日期清單&amp;"'!s40:s55"),INDIRECT("'"&amp;日期清單&amp;"'!R40:r55"),"原味",INDIRECT("'"&amp;日期清單&amp;"'!t40:T55"),"技術"))</f>
        <v>41</v>
      </c>
      <c r="M58" s="90" cm="1">
        <f t="array" aca="1" ref="M58" ca="1">SUMPRODUCT(SUMIFS(INDIRECT("'"&amp;日期清單&amp;"'!s40:s55"),INDIRECT("'"&amp;日期清單&amp;"'!R40:r55"),"原味",INDIRECT("'"&amp;日期清單&amp;"'!t40:T55"),"過期"))</f>
        <v>0</v>
      </c>
      <c r="N58" s="90" cm="1">
        <f t="array" aca="1" ref="N58" ca="1">SUMPRODUCT(SUMIFS(INDIRECT("'"&amp;日期清單&amp;"'!s40:s55"),INDIRECT("'"&amp;日期清單&amp;"'!R40:r55"),"原味",INDIRECT("'"&amp;日期清單&amp;"'!t40:T55"),"吃掉"))</f>
        <v>6</v>
      </c>
      <c r="O58" s="90">
        <f ca="1">SUM(K58:N58)</f>
        <v>64</v>
      </c>
      <c r="P58" s="90"/>
      <c r="Q58" s="90"/>
      <c r="R58" s="90"/>
    </row>
    <row r="59" spans="1:18" ht="16" thickBot="1">
      <c r="A59" s="113"/>
      <c r="B59" s="108"/>
      <c r="C59" s="65" t="s">
        <v>22</v>
      </c>
      <c r="D59" s="9">
        <f>SUM('1:31'!Y19)</f>
        <v>0</v>
      </c>
      <c r="E59" s="110"/>
      <c r="F59" s="115"/>
      <c r="G59" s="118"/>
      <c r="H59" s="119"/>
      <c r="J59" s="90"/>
      <c r="K59" s="90"/>
      <c r="L59" s="90"/>
      <c r="M59" s="90"/>
      <c r="N59" s="90"/>
      <c r="O59" s="90"/>
      <c r="P59" s="90"/>
      <c r="Q59" s="90"/>
      <c r="R59" s="90"/>
    </row>
    <row r="60" spans="1:18">
      <c r="J60" s="90" t="s">
        <v>5</v>
      </c>
      <c r="K60" s="90" cm="1">
        <f t="array" aca="1" ref="K60" ca="1">SUMPRODUCT(SUMIFS(INDIRECT("'"&amp;日期清單&amp;"'!s40:s55"),INDIRECT("'"&amp;日期清單&amp;"'!R40:r55"),"可可",INDIRECT("'"&amp;日期清單&amp;"'!t40:T55"),"人為"))</f>
        <v>20</v>
      </c>
      <c r="L60" s="90" cm="1">
        <f t="array" aca="1" ref="L60" ca="1">SUMPRODUCT(SUMIFS(INDIRECT("'"&amp;日期清單&amp;"'!s40:s55"),INDIRECT("'"&amp;日期清單&amp;"'!R40:r55"),"可可",INDIRECT("'"&amp;日期清單&amp;"'!t40:T55"),"技術"))</f>
        <v>7</v>
      </c>
      <c r="M60" s="90" cm="1">
        <f t="array" aca="1" ref="M60" ca="1">SUMPRODUCT(SUMIFS(INDIRECT("'"&amp;日期清單&amp;"'!s40:s55"),INDIRECT("'"&amp;日期清單&amp;"'!R40:r55"),"可可",INDIRECT("'"&amp;日期清單&amp;"'!t40:T55"),"過期"))</f>
        <v>0</v>
      </c>
      <c r="N60" s="90" cm="1">
        <f t="array" aca="1" ref="N60" ca="1">SUMPRODUCT(SUMIFS(INDIRECT("'"&amp;日期清單&amp;"'!s40:s55"),INDIRECT("'"&amp;日期清單&amp;"'!R40:r55"),"可可",INDIRECT("'"&amp;日期清單&amp;"'!t40:T55"),"吃掉"))</f>
        <v>5</v>
      </c>
      <c r="O60" s="90">
        <f ca="1">SUM(K60:N60)</f>
        <v>32</v>
      </c>
      <c r="P60" s="90"/>
      <c r="Q60" s="90"/>
      <c r="R60" s="90"/>
    </row>
    <row r="61" spans="1:18">
      <c r="J61" s="90"/>
      <c r="K61" s="90"/>
      <c r="L61" s="90"/>
      <c r="M61" s="90"/>
      <c r="N61" s="90"/>
      <c r="O61" s="90"/>
      <c r="P61" s="90"/>
      <c r="Q61" s="90"/>
      <c r="R61" s="90"/>
    </row>
    <row r="62" spans="1:18">
      <c r="J62" s="90" t="s">
        <v>6</v>
      </c>
      <c r="K62" s="90" cm="1">
        <f t="array" aca="1" ref="K62" ca="1">SUMPRODUCT(SUMIFS(INDIRECT("'"&amp;日期清單&amp;"'!s40:s55"),INDIRECT("'"&amp;日期清單&amp;"'!R40:r55"),"伯爵",INDIRECT("'"&amp;日期清單&amp;"'!t40:T55"),"人為"))</f>
        <v>7</v>
      </c>
      <c r="L62" s="90" cm="1">
        <f t="array" aca="1" ref="L62" ca="1">SUMPRODUCT(SUMIFS(INDIRECT("'"&amp;日期清單&amp;"'!s40:s55"),INDIRECT("'"&amp;日期清單&amp;"'!R40:r55"),"伯爵",INDIRECT("'"&amp;日期清單&amp;"'!t40:T55"),"技術"))</f>
        <v>18</v>
      </c>
      <c r="M62" s="90" cm="1">
        <f t="array" aca="1" ref="M62" ca="1">SUMPRODUCT(SUMIFS(INDIRECT("'"&amp;日期清單&amp;"'!s40:s55"),INDIRECT("'"&amp;日期清單&amp;"'!R40:r55"),"伯爵",INDIRECT("'"&amp;日期清單&amp;"'!t40:T55"),"過期"))</f>
        <v>2</v>
      </c>
      <c r="N62" s="90" cm="1">
        <f t="array" aca="1" ref="N62" ca="1">SUMPRODUCT(SUMIFS(INDIRECT("'"&amp;日期清單&amp;"'!s40:s55"),INDIRECT("'"&amp;日期清單&amp;"'!R40:r55"),"伯爵",INDIRECT("'"&amp;日期清單&amp;"'!t40:T55"),"吃掉"))</f>
        <v>7</v>
      </c>
      <c r="O62" s="90">
        <f ca="1">SUM(K62:N62)</f>
        <v>34</v>
      </c>
      <c r="P62" s="90"/>
      <c r="Q62" s="90"/>
      <c r="R62" s="90"/>
    </row>
    <row r="63" spans="1:18">
      <c r="J63" s="90"/>
      <c r="K63" s="90"/>
      <c r="L63" s="90"/>
      <c r="M63" s="90"/>
      <c r="N63" s="90"/>
      <c r="O63" s="90"/>
      <c r="P63" s="90"/>
      <c r="Q63" s="90"/>
      <c r="R63" s="90"/>
    </row>
    <row r="64" spans="1:18">
      <c r="J64" s="90" t="s">
        <v>7</v>
      </c>
      <c r="K64" s="90" cm="1">
        <f t="array" aca="1" ref="K64" ca="1">SUMPRODUCT(SUMIFS(INDIRECT("'"&amp;日期清單&amp;"'!s40:s55"),INDIRECT("'"&amp;日期清單&amp;"'!R40:r55"),"抹茶",INDIRECT("'"&amp;日期清單&amp;"'!t40:T55"),"人為"))</f>
        <v>7</v>
      </c>
      <c r="L64" s="90" cm="1">
        <f t="array" aca="1" ref="L64" ca="1">SUMPRODUCT(SUMIFS(INDIRECT("'"&amp;日期清單&amp;"'!s40:s55"),INDIRECT("'"&amp;日期清單&amp;"'!R40:r55"),"抹茶",INDIRECT("'"&amp;日期清單&amp;"'!t40:T55"),"技術"))</f>
        <v>24</v>
      </c>
      <c r="M64" s="90" cm="1">
        <f t="array" aca="1" ref="M64" ca="1">SUMPRODUCT(SUMIFS(INDIRECT("'"&amp;日期清單&amp;"'!s40:s55"),INDIRECT("'"&amp;日期清單&amp;"'!R40:r55"),"抹茶",INDIRECT("'"&amp;日期清單&amp;"'!t40:T55"),"過期"))</f>
        <v>0</v>
      </c>
      <c r="N64" s="90" cm="1">
        <f t="array" aca="1" ref="N64" ca="1">SUMPRODUCT(SUMIFS(INDIRECT("'"&amp;日期清單&amp;"'!s40:s55"),INDIRECT("'"&amp;日期清單&amp;"'!R40:r55"),"抹茶",INDIRECT("'"&amp;日期清單&amp;"'!t40:T55"),"吃掉"))</f>
        <v>1</v>
      </c>
      <c r="O64" s="90">
        <f ca="1">SUM(K64:N64)</f>
        <v>32</v>
      </c>
      <c r="P64" s="90"/>
      <c r="Q64" s="90"/>
      <c r="R64" s="90"/>
    </row>
    <row r="65" spans="10:18">
      <c r="J65" s="90"/>
      <c r="K65" s="90"/>
      <c r="L65" s="90"/>
      <c r="M65" s="90"/>
      <c r="N65" s="90"/>
      <c r="O65" s="90"/>
      <c r="P65" s="90"/>
      <c r="Q65" s="90"/>
      <c r="R65" s="90"/>
    </row>
    <row r="66" spans="10:18">
      <c r="J66" s="90" t="s">
        <v>260</v>
      </c>
      <c r="K66" s="90">
        <f ca="1">SUM(K58:K64)</f>
        <v>51</v>
      </c>
      <c r="L66" s="90">
        <f ca="1">SUM(L58:L64)</f>
        <v>90</v>
      </c>
      <c r="M66" s="90">
        <f ca="1">SUM(M58:M64)</f>
        <v>2</v>
      </c>
      <c r="N66" s="90">
        <f ca="1">SUM(N58:N64)</f>
        <v>19</v>
      </c>
      <c r="O66" s="90">
        <f ca="1">SUM(O58:O64)</f>
        <v>162</v>
      </c>
      <c r="P66" s="90"/>
      <c r="Q66" s="90"/>
      <c r="R66" s="90"/>
    </row>
    <row r="67" spans="10:18">
      <c r="J67" s="90"/>
      <c r="K67" s="90"/>
      <c r="L67" s="90"/>
      <c r="M67" s="90"/>
      <c r="N67" s="90"/>
      <c r="O67" s="90"/>
      <c r="P67" s="90"/>
      <c r="Q67" s="90"/>
      <c r="R67" s="90"/>
    </row>
    <row r="68" spans="10:18">
      <c r="P68" s="22"/>
      <c r="Q68" s="22"/>
      <c r="R68" s="22"/>
    </row>
    <row r="70" spans="10:18">
      <c r="J70" s="90" t="s">
        <v>177</v>
      </c>
      <c r="K70" s="90"/>
      <c r="L70" s="90"/>
      <c r="M70" s="90"/>
      <c r="N70" s="90"/>
      <c r="O70" s="90"/>
      <c r="P70" s="90"/>
      <c r="Q70" s="90"/>
      <c r="R70" s="90"/>
    </row>
    <row r="71" spans="10:18">
      <c r="J71" s="90"/>
      <c r="K71" s="90"/>
      <c r="L71" s="90"/>
      <c r="M71" s="90"/>
      <c r="N71" s="90"/>
      <c r="O71" s="90"/>
      <c r="P71" s="90"/>
      <c r="Q71" s="90"/>
      <c r="R71" s="90"/>
    </row>
    <row r="72" spans="10:18">
      <c r="K72" s="16" t="s">
        <v>88</v>
      </c>
      <c r="L72" s="16" t="s">
        <v>176</v>
      </c>
      <c r="M72" s="16" t="s">
        <v>156</v>
      </c>
      <c r="N72" s="90"/>
      <c r="O72" s="90"/>
      <c r="P72" s="90"/>
      <c r="Q72" s="90"/>
      <c r="R72" s="90"/>
    </row>
    <row r="73" spans="10:18">
      <c r="J73" t="s">
        <v>4</v>
      </c>
      <c r="K73">
        <f>SUM('1:31'!U33)</f>
        <v>347</v>
      </c>
      <c r="L73">
        <f ca="1">L58</f>
        <v>41</v>
      </c>
      <c r="M73" s="27">
        <f ca="1">L73/K73</f>
        <v>0.11815561959654179</v>
      </c>
      <c r="N73" s="90"/>
      <c r="O73" s="90"/>
      <c r="P73" s="90"/>
      <c r="Q73" s="90"/>
      <c r="R73" s="90"/>
    </row>
    <row r="74" spans="10:18">
      <c r="J74" t="s">
        <v>5</v>
      </c>
      <c r="K74">
        <f>SUM('1:31'!U34)</f>
        <v>298</v>
      </c>
      <c r="L74">
        <f ca="1">L60</f>
        <v>7</v>
      </c>
      <c r="M74" s="27">
        <f ca="1">L74/K74</f>
        <v>2.3489932885906041E-2</v>
      </c>
      <c r="N74" s="90"/>
      <c r="O74" s="90"/>
      <c r="P74" s="90"/>
      <c r="Q74" s="90"/>
      <c r="R74" s="90"/>
    </row>
    <row r="75" spans="10:18">
      <c r="J75" t="s">
        <v>6</v>
      </c>
      <c r="K75">
        <f>SUM('1:31'!U35)</f>
        <v>314</v>
      </c>
      <c r="L75">
        <f ca="1">L62</f>
        <v>18</v>
      </c>
      <c r="M75" s="27">
        <f ca="1">L75/K75</f>
        <v>5.7324840764331211E-2</v>
      </c>
      <c r="N75" s="90"/>
      <c r="O75" s="90"/>
      <c r="P75" s="90"/>
      <c r="Q75" s="90"/>
      <c r="R75" s="90"/>
    </row>
    <row r="76" spans="10:18">
      <c r="J76" t="s">
        <v>7</v>
      </c>
      <c r="K76">
        <f>SUM('1:31'!U36)</f>
        <v>289</v>
      </c>
      <c r="L76">
        <f ca="1">L64</f>
        <v>24</v>
      </c>
      <c r="M76" s="27">
        <f ca="1">L76/K76</f>
        <v>8.3044982698961933E-2</v>
      </c>
      <c r="N76" s="90"/>
      <c r="O76" s="90"/>
      <c r="P76" s="90"/>
      <c r="Q76" s="90"/>
      <c r="R76" s="90"/>
    </row>
    <row r="118" spans="1:1">
      <c r="A118">
        <v>1</v>
      </c>
    </row>
    <row r="119" spans="1:1">
      <c r="A119">
        <v>2</v>
      </c>
    </row>
    <row r="120" spans="1:1">
      <c r="A120">
        <v>3</v>
      </c>
    </row>
    <row r="121" spans="1:1">
      <c r="A121">
        <v>4</v>
      </c>
    </row>
    <row r="122" spans="1:1">
      <c r="A122">
        <v>5</v>
      </c>
    </row>
    <row r="123" spans="1:1">
      <c r="A123">
        <v>6</v>
      </c>
    </row>
    <row r="124" spans="1:1">
      <c r="A124">
        <v>7</v>
      </c>
    </row>
    <row r="125" spans="1:1">
      <c r="A125">
        <v>8</v>
      </c>
    </row>
    <row r="126" spans="1:1">
      <c r="A126">
        <v>9</v>
      </c>
    </row>
    <row r="127" spans="1:1">
      <c r="A127">
        <v>10</v>
      </c>
    </row>
    <row r="128" spans="1:1">
      <c r="A128">
        <v>11</v>
      </c>
    </row>
    <row r="129" spans="1:1">
      <c r="A129">
        <v>12</v>
      </c>
    </row>
    <row r="130" spans="1:1">
      <c r="A130">
        <v>13</v>
      </c>
    </row>
    <row r="131" spans="1:1">
      <c r="A131">
        <v>14</v>
      </c>
    </row>
    <row r="132" spans="1:1">
      <c r="A132">
        <v>15</v>
      </c>
    </row>
    <row r="133" spans="1:1">
      <c r="A133">
        <v>16</v>
      </c>
    </row>
    <row r="134" spans="1:1">
      <c r="A134">
        <v>17</v>
      </c>
    </row>
    <row r="135" spans="1:1">
      <c r="A135">
        <v>18</v>
      </c>
    </row>
    <row r="136" spans="1:1">
      <c r="A136">
        <v>19</v>
      </c>
    </row>
    <row r="137" spans="1:1">
      <c r="A137">
        <v>20</v>
      </c>
    </row>
    <row r="138" spans="1:1">
      <c r="A138">
        <v>21</v>
      </c>
    </row>
    <row r="139" spans="1:1">
      <c r="A139">
        <v>22</v>
      </c>
    </row>
    <row r="140" spans="1:1">
      <c r="A140">
        <v>23</v>
      </c>
    </row>
    <row r="141" spans="1:1">
      <c r="A141">
        <v>24</v>
      </c>
    </row>
    <row r="142" spans="1:1">
      <c r="A142">
        <v>25</v>
      </c>
    </row>
    <row r="143" spans="1:1">
      <c r="A143">
        <v>26</v>
      </c>
    </row>
    <row r="144" spans="1:1">
      <c r="A144">
        <v>27</v>
      </c>
    </row>
    <row r="145" spans="1:1">
      <c r="A145">
        <v>28</v>
      </c>
    </row>
    <row r="146" spans="1:1">
      <c r="A146">
        <v>29</v>
      </c>
    </row>
    <row r="147" spans="1:1">
      <c r="A147">
        <v>30</v>
      </c>
    </row>
    <row r="148" spans="1:1">
      <c r="A148">
        <v>31</v>
      </c>
    </row>
  </sheetData>
  <mergeCells count="90">
    <mergeCell ref="P62:R67"/>
    <mergeCell ref="O58:O59"/>
    <mergeCell ref="O60:O61"/>
    <mergeCell ref="O62:O63"/>
    <mergeCell ref="O64:O65"/>
    <mergeCell ref="O66:O67"/>
    <mergeCell ref="N58:N59"/>
    <mergeCell ref="N60:N61"/>
    <mergeCell ref="N62:N63"/>
    <mergeCell ref="N64:N65"/>
    <mergeCell ref="N66:N67"/>
    <mergeCell ref="M58:M59"/>
    <mergeCell ref="M60:M61"/>
    <mergeCell ref="M62:M63"/>
    <mergeCell ref="M64:M65"/>
    <mergeCell ref="M66:M67"/>
    <mergeCell ref="K64:K65"/>
    <mergeCell ref="K66:K67"/>
    <mergeCell ref="L58:L59"/>
    <mergeCell ref="L60:L61"/>
    <mergeCell ref="L62:L63"/>
    <mergeCell ref="L64:L65"/>
    <mergeCell ref="L66:L67"/>
    <mergeCell ref="J11:R14"/>
    <mergeCell ref="A15:H15"/>
    <mergeCell ref="A35:A36"/>
    <mergeCell ref="E35:F35"/>
    <mergeCell ref="E36:F36"/>
    <mergeCell ref="G24:H25"/>
    <mergeCell ref="F25:F28"/>
    <mergeCell ref="A29:A34"/>
    <mergeCell ref="F30:F34"/>
    <mergeCell ref="A24:A28"/>
    <mergeCell ref="C16:F17"/>
    <mergeCell ref="C18:F21"/>
    <mergeCell ref="A23:H23"/>
    <mergeCell ref="A16:B16"/>
    <mergeCell ref="A17:B18"/>
    <mergeCell ref="A19:B19"/>
    <mergeCell ref="A11:H14"/>
    <mergeCell ref="A44:H44"/>
    <mergeCell ref="G16:H17"/>
    <mergeCell ref="A37:A41"/>
    <mergeCell ref="E38:E41"/>
    <mergeCell ref="A42:B42"/>
    <mergeCell ref="E42:F42"/>
    <mergeCell ref="C42:D42"/>
    <mergeCell ref="G42:H42"/>
    <mergeCell ref="F38:F41"/>
    <mergeCell ref="G26:H41"/>
    <mergeCell ref="B57:B59"/>
    <mergeCell ref="E57:E59"/>
    <mergeCell ref="A53:A59"/>
    <mergeCell ref="F54:F59"/>
    <mergeCell ref="G47:H59"/>
    <mergeCell ref="B51:B52"/>
    <mergeCell ref="F46:F52"/>
    <mergeCell ref="A45:A52"/>
    <mergeCell ref="D51:E51"/>
    <mergeCell ref="D52:E52"/>
    <mergeCell ref="G45:H46"/>
    <mergeCell ref="O7:R9"/>
    <mergeCell ref="O5:R6"/>
    <mergeCell ref="G5:I6"/>
    <mergeCell ref="J5:L6"/>
    <mergeCell ref="A1:R4"/>
    <mergeCell ref="A5:C6"/>
    <mergeCell ref="D5:F6"/>
    <mergeCell ref="M5:N6"/>
    <mergeCell ref="A7:C9"/>
    <mergeCell ref="D7:F9"/>
    <mergeCell ref="G7:I9"/>
    <mergeCell ref="J7:L9"/>
    <mergeCell ref="M7:N9"/>
    <mergeCell ref="J70:M71"/>
    <mergeCell ref="N70:R76"/>
    <mergeCell ref="J26:R27"/>
    <mergeCell ref="J28:R38"/>
    <mergeCell ref="J40:R41"/>
    <mergeCell ref="J42:R53"/>
    <mergeCell ref="J55:O56"/>
    <mergeCell ref="P55:R61"/>
    <mergeCell ref="J58:J59"/>
    <mergeCell ref="J60:J61"/>
    <mergeCell ref="J62:J63"/>
    <mergeCell ref="J64:J65"/>
    <mergeCell ref="J66:J67"/>
    <mergeCell ref="K58:K59"/>
    <mergeCell ref="K60:K61"/>
    <mergeCell ref="K62:K63"/>
  </mergeCells>
  <phoneticPr fontId="2" type="noConversion"/>
  <conditionalFormatting sqref="J7">
    <cfRule type="cellIs" dxfId="32" priority="1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5B6A0-F8A6-C54C-9DA8-63E4E44E5427}">
  <sheetPr codeName="工作表1"/>
  <dimension ref="A1:AD101"/>
  <sheetViews>
    <sheetView topLeftCell="A5"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0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 t="s">
        <v>9</v>
      </c>
      <c r="B8" s="2">
        <v>4</v>
      </c>
      <c r="C8" s="2"/>
      <c r="D8" s="2"/>
      <c r="E8" s="2"/>
      <c r="F8" s="2"/>
      <c r="G8" s="2"/>
      <c r="H8" s="2"/>
      <c r="I8" s="2"/>
      <c r="J8" s="2"/>
      <c r="K8" s="2">
        <f t="shared" ref="K8:K39" si="0">SUM(SUM(B8:F8)*360,SUM(G8:J8)*90)</f>
        <v>1440</v>
      </c>
      <c r="L8" s="2"/>
      <c r="M8" s="2">
        <v>40</v>
      </c>
      <c r="N8" s="2">
        <f>K8+L8-M8</f>
        <v>1400</v>
      </c>
      <c r="O8" s="2" t="s">
        <v>27</v>
      </c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 t="s">
        <v>10</v>
      </c>
      <c r="B9" s="2">
        <v>11</v>
      </c>
      <c r="C9" s="2"/>
      <c r="D9" s="2"/>
      <c r="E9" s="2"/>
      <c r="F9" s="2"/>
      <c r="G9" s="2"/>
      <c r="H9" s="2"/>
      <c r="I9" s="2"/>
      <c r="J9" s="2"/>
      <c r="K9" s="2">
        <f t="shared" si="0"/>
        <v>3960</v>
      </c>
      <c r="L9" s="2"/>
      <c r="M9" s="2">
        <v>360</v>
      </c>
      <c r="N9" s="2">
        <f t="shared" ref="N9:N72" si="1">K9+L9-M9</f>
        <v>3600</v>
      </c>
      <c r="O9" s="2" t="s">
        <v>27</v>
      </c>
      <c r="P9" s="3"/>
      <c r="R9" s="214" t="s">
        <v>32</v>
      </c>
      <c r="S9" s="214"/>
      <c r="T9" s="1" t="s">
        <v>22</v>
      </c>
      <c r="U9" s="244">
        <f>SUMIF(表格1_3[欄1],"&lt;&gt;公關品",表格1_3[運費])</f>
        <v>160</v>
      </c>
      <c r="V9" s="244"/>
      <c r="W9" s="2"/>
      <c r="X9" s="1" t="s">
        <v>109</v>
      </c>
      <c r="Y9" s="213">
        <v>0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李泓陞：880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 t="s">
        <v>11</v>
      </c>
      <c r="B10" s="2">
        <v>4</v>
      </c>
      <c r="C10" s="2"/>
      <c r="D10" s="2"/>
      <c r="E10" s="2"/>
      <c r="F10" s="2"/>
      <c r="G10" s="2"/>
      <c r="H10" s="2"/>
      <c r="I10" s="2"/>
      <c r="J10" s="2"/>
      <c r="K10" s="2">
        <f t="shared" si="0"/>
        <v>1440</v>
      </c>
      <c r="L10" s="2"/>
      <c r="M10" s="2"/>
      <c r="N10" s="2">
        <f t="shared" si="1"/>
        <v>1440</v>
      </c>
      <c r="O10" s="2" t="s">
        <v>27</v>
      </c>
      <c r="P10" s="3"/>
      <c r="R10" s="241">
        <f>SUM(K8:K101)-V15</f>
        <v>9900</v>
      </c>
      <c r="S10" s="241"/>
      <c r="T10" s="1" t="s">
        <v>13</v>
      </c>
      <c r="U10" s="245">
        <f>SUM(M8:M101)</f>
        <v>780</v>
      </c>
      <c r="V10" s="245"/>
      <c r="W10" s="2"/>
      <c r="X10" s="1" t="s">
        <v>110</v>
      </c>
      <c r="Y10" s="213">
        <f>U15</f>
        <v>880</v>
      </c>
      <c r="Z10" s="213"/>
    </row>
    <row r="11" spans="1:30">
      <c r="A11" s="7" t="s">
        <v>12</v>
      </c>
      <c r="B11" s="2"/>
      <c r="C11" s="2">
        <v>1</v>
      </c>
      <c r="D11" s="2">
        <v>1</v>
      </c>
      <c r="E11" s="2">
        <v>1</v>
      </c>
      <c r="F11" s="2">
        <v>1</v>
      </c>
      <c r="G11" s="2"/>
      <c r="H11" s="2"/>
      <c r="I11" s="2"/>
      <c r="J11" s="2"/>
      <c r="K11" s="2">
        <f t="shared" si="0"/>
        <v>1440</v>
      </c>
      <c r="L11" s="2"/>
      <c r="M11" s="2"/>
      <c r="N11" s="2">
        <f t="shared" si="1"/>
        <v>1440</v>
      </c>
      <c r="O11" s="2" t="s">
        <v>27</v>
      </c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2" t="s">
        <v>188</v>
      </c>
      <c r="B12" s="2">
        <v>2</v>
      </c>
      <c r="C12" s="2"/>
      <c r="D12" s="2"/>
      <c r="E12" s="2"/>
      <c r="F12" s="2"/>
      <c r="G12" s="2"/>
      <c r="H12" s="2"/>
      <c r="I12" s="2"/>
      <c r="J12" s="2"/>
      <c r="K12" s="2">
        <f t="shared" si="0"/>
        <v>720</v>
      </c>
      <c r="L12" s="2">
        <v>160</v>
      </c>
      <c r="M12" s="2"/>
      <c r="N12" s="2">
        <f t="shared" si="1"/>
        <v>880</v>
      </c>
      <c r="O12" s="2" t="s">
        <v>25</v>
      </c>
      <c r="P12" s="3"/>
      <c r="R12" s="243">
        <f>R10-U10-U11</f>
        <v>9120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880</v>
      </c>
      <c r="Z12" s="213"/>
    </row>
    <row r="13" spans="1:30" ht="15" customHeight="1">
      <c r="A13" s="7" t="s">
        <v>19</v>
      </c>
      <c r="B13" s="2"/>
      <c r="C13" s="2"/>
      <c r="D13" s="2"/>
      <c r="E13" s="2"/>
      <c r="F13" s="2"/>
      <c r="G13" s="2"/>
      <c r="H13" s="2"/>
      <c r="I13" s="2"/>
      <c r="J13" s="2">
        <v>2</v>
      </c>
      <c r="K13" s="2">
        <f t="shared" si="0"/>
        <v>180</v>
      </c>
      <c r="L13" s="2"/>
      <c r="M13" s="2">
        <v>20</v>
      </c>
      <c r="N13" s="2">
        <f t="shared" si="1"/>
        <v>160</v>
      </c>
      <c r="O13" s="2" t="s">
        <v>29</v>
      </c>
      <c r="P13" s="3"/>
      <c r="R13" s="243"/>
      <c r="S13" s="243"/>
      <c r="T13" s="1" t="s">
        <v>28</v>
      </c>
      <c r="U13" s="1">
        <f>SUMIF(O8:O101,"匯款",N8:N101)</f>
        <v>8240</v>
      </c>
      <c r="V13" s="1"/>
      <c r="W13" s="2"/>
      <c r="X13" s="214"/>
      <c r="Y13" s="213"/>
      <c r="Z13" s="213"/>
    </row>
    <row r="14" spans="1:30" ht="15" customHeight="1">
      <c r="A14" s="7" t="s">
        <v>20</v>
      </c>
      <c r="B14" s="2">
        <v>1</v>
      </c>
      <c r="C14" s="2"/>
      <c r="D14" s="2"/>
      <c r="E14" s="2"/>
      <c r="F14" s="2"/>
      <c r="G14" s="2"/>
      <c r="H14" s="2"/>
      <c r="I14" s="2"/>
      <c r="J14" s="2"/>
      <c r="K14" s="2">
        <f t="shared" si="0"/>
        <v>360</v>
      </c>
      <c r="L14" s="2"/>
      <c r="M14" s="2">
        <v>360</v>
      </c>
      <c r="N14" s="2">
        <f t="shared" si="1"/>
        <v>0</v>
      </c>
      <c r="O14" s="2" t="s">
        <v>27</v>
      </c>
      <c r="P14" s="3"/>
      <c r="R14" s="243"/>
      <c r="S14" s="243"/>
      <c r="T14" s="1" t="s">
        <v>30</v>
      </c>
      <c r="U14" s="1">
        <f>SUMIF(O8:O102,"現金",N8:N102)</f>
        <v>160</v>
      </c>
      <c r="V14" s="1"/>
      <c r="W14" s="2"/>
      <c r="X14" s="2"/>
      <c r="Y14" s="2"/>
      <c r="Z14" s="3"/>
    </row>
    <row r="15" spans="1:30">
      <c r="A15" s="7" t="s">
        <v>21</v>
      </c>
      <c r="B15" s="2"/>
      <c r="C15" s="2"/>
      <c r="D15" s="2"/>
      <c r="E15" s="2">
        <v>1</v>
      </c>
      <c r="F15" s="2"/>
      <c r="G15" s="2"/>
      <c r="H15" s="2"/>
      <c r="I15" s="2"/>
      <c r="J15" s="2"/>
      <c r="K15" s="2">
        <f t="shared" si="0"/>
        <v>360</v>
      </c>
      <c r="L15" s="2"/>
      <c r="M15" s="2"/>
      <c r="N15" s="2">
        <f t="shared" si="1"/>
        <v>360</v>
      </c>
      <c r="O15" s="2" t="s">
        <v>27</v>
      </c>
      <c r="P15" s="3"/>
      <c r="R15" s="243"/>
      <c r="S15" s="243"/>
      <c r="T15" s="1" t="s">
        <v>26</v>
      </c>
      <c r="U15" s="1">
        <f>SUMIF(O8:O102,"未結帳款",N8:N103)</f>
        <v>880</v>
      </c>
      <c r="V15" s="1">
        <f>SUMIF(P8:P100,"銷帳",N8:N100)</f>
        <v>0</v>
      </c>
      <c r="W15" s="2"/>
      <c r="X15" s="2"/>
      <c r="Y15" s="2"/>
      <c r="Z15" s="3"/>
    </row>
    <row r="16" spans="1:30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8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160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>
        <v>865</v>
      </c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22</v>
      </c>
      <c r="U19" s="2">
        <f ca="1">SUMIF(P8:P102,"公關品",B8:B100)</f>
        <v>0</v>
      </c>
      <c r="V19" s="15">
        <f ca="1">SUM(T19:T23,U19)</f>
        <v>27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1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1</v>
      </c>
      <c r="U21" s="2">
        <f ca="1">SUMIF(P8:P102,"公關品",D8:D100)</f>
        <v>0</v>
      </c>
      <c r="V21" s="114"/>
      <c r="W21" s="2"/>
      <c r="X21" s="8" t="s">
        <v>37</v>
      </c>
      <c r="Y21" s="225">
        <f>Y17-Y18-Y20+Y19</f>
        <v>-705</v>
      </c>
      <c r="Z21" s="226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2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1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26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26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30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2</v>
      </c>
      <c r="U27" s="9">
        <f ca="1">SUMIF(P9:P103,"公關品",J8:J100)</f>
        <v>0</v>
      </c>
      <c r="V27" s="9">
        <f ca="1">T19+(T23*4)+T27</f>
        <v>28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v>0</v>
      </c>
      <c r="T33" s="2">
        <v>32</v>
      </c>
      <c r="U33" s="2">
        <v>32</v>
      </c>
      <c r="V33" s="2">
        <f>SUMIF(R40:R55,"原味",S40:S55)</f>
        <v>6</v>
      </c>
      <c r="W33" s="114">
        <f ca="1">V24+U24+U19+U20*4</f>
        <v>26</v>
      </c>
      <c r="X33" s="114"/>
      <c r="Y33" s="13">
        <f ca="1">S33+U33-V33-W33</f>
        <v>0</v>
      </c>
      <c r="Z33" s="28">
        <f>V33/(U33+S33)</f>
        <v>0.1875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v>0</v>
      </c>
      <c r="T34" s="2">
        <v>32</v>
      </c>
      <c r="U34" s="2">
        <v>32</v>
      </c>
      <c r="V34" s="2">
        <f>SUMIF(R41:R55,"可可",S41:S55)</f>
        <v>6</v>
      </c>
      <c r="W34" s="114">
        <f ca="1">V25+U25+U19+U21*4</f>
        <v>26</v>
      </c>
      <c r="X34" s="114"/>
      <c r="Y34" s="13">
        <f ca="1">S34+U34-V34-W34</f>
        <v>0</v>
      </c>
      <c r="Z34" s="28">
        <f>V34/(U34+S34)</f>
        <v>0.1875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v>0</v>
      </c>
      <c r="T35" s="2">
        <v>32</v>
      </c>
      <c r="U35" s="2">
        <v>34</v>
      </c>
      <c r="V35" s="2">
        <f>SUMIF(R41:R55,"伯爵",S41:S55)</f>
        <v>1</v>
      </c>
      <c r="W35" s="114">
        <f ca="1">V26+U26+U19+U22*4</f>
        <v>30</v>
      </c>
      <c r="X35" s="114"/>
      <c r="Y35" s="13">
        <f ca="1">S35+U35-V35-W35</f>
        <v>3</v>
      </c>
      <c r="Z35" s="28">
        <f>V35/(U35+S35)</f>
        <v>2.9411764705882353E-2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v>0</v>
      </c>
      <c r="T36" s="2">
        <v>32</v>
      </c>
      <c r="U36" s="2">
        <v>32</v>
      </c>
      <c r="V36" s="2">
        <f>SUMIF(R41:R55,"抹茶",S41:S55)</f>
        <v>0</v>
      </c>
      <c r="W36" s="114">
        <f ca="1">V27+U27+U19+U23*4</f>
        <v>28</v>
      </c>
      <c r="X36" s="114"/>
      <c r="Y36" s="13">
        <f ca="1">S36+U36-V36-W36</f>
        <v>4</v>
      </c>
      <c r="Z36" s="28">
        <f>V36/(U36+S36)</f>
        <v>0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ref="K40:K71" si="2">SUM(SUM(B40:F40)*360,SUM(G40:J40)*90)</f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2"/>
        <v>0</v>
      </c>
      <c r="L41" s="2"/>
      <c r="M41" s="2"/>
      <c r="N41" s="2">
        <f t="shared" si="1"/>
        <v>0</v>
      </c>
      <c r="O41" s="2"/>
      <c r="P41" s="3"/>
      <c r="R41" s="7" t="s">
        <v>68</v>
      </c>
      <c r="S41" s="2">
        <v>6</v>
      </c>
      <c r="T41" s="15" t="s">
        <v>99</v>
      </c>
      <c r="U41" s="182" t="s">
        <v>98</v>
      </c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2"/>
        <v>0</v>
      </c>
      <c r="L42" s="2"/>
      <c r="M42" s="2"/>
      <c r="N42" s="2">
        <f t="shared" si="1"/>
        <v>0</v>
      </c>
      <c r="O42" s="2"/>
      <c r="P42" s="3"/>
      <c r="R42" s="7" t="s">
        <v>69</v>
      </c>
      <c r="S42" s="2">
        <v>6</v>
      </c>
      <c r="T42" s="15" t="s">
        <v>100</v>
      </c>
      <c r="U42" s="182" t="s">
        <v>101</v>
      </c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2"/>
        <v>0</v>
      </c>
      <c r="L43" s="2"/>
      <c r="M43" s="2"/>
      <c r="N43" s="2">
        <f t="shared" si="1"/>
        <v>0</v>
      </c>
      <c r="O43" s="2"/>
      <c r="P43" s="3"/>
      <c r="R43" s="7" t="s">
        <v>70</v>
      </c>
      <c r="S43">
        <v>1</v>
      </c>
      <c r="T43" s="15" t="s">
        <v>99</v>
      </c>
      <c r="U43" s="182" t="s">
        <v>98</v>
      </c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2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2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2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2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2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2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2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2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2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2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2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2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2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2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2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2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2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2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2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2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2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2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2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2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2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2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2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2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3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3"/>
        <v>0</v>
      </c>
      <c r="L73" s="2"/>
      <c r="M73" s="2"/>
      <c r="N73" s="2">
        <f t="shared" ref="N73:N101" si="4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3"/>
        <v>0</v>
      </c>
      <c r="L74" s="2"/>
      <c r="M74" s="2"/>
      <c r="N74" s="2">
        <f t="shared" si="4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3"/>
        <v>0</v>
      </c>
      <c r="L75" s="2"/>
      <c r="M75" s="2"/>
      <c r="N75" s="2">
        <f t="shared" si="4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3"/>
        <v>0</v>
      </c>
      <c r="L76" s="2"/>
      <c r="M76" s="2"/>
      <c r="N76" s="2">
        <f t="shared" si="4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3"/>
        <v>0</v>
      </c>
      <c r="L77" s="2"/>
      <c r="M77" s="2"/>
      <c r="N77" s="2">
        <f t="shared" si="4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3"/>
        <v>0</v>
      </c>
      <c r="L78" s="2"/>
      <c r="M78" s="2"/>
      <c r="N78" s="2">
        <f t="shared" si="4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3"/>
        <v>0</v>
      </c>
      <c r="L79" s="2"/>
      <c r="M79" s="2"/>
      <c r="N79" s="2">
        <f t="shared" si="4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3"/>
        <v>0</v>
      </c>
      <c r="L80" s="2"/>
      <c r="M80" s="2"/>
      <c r="N80" s="2">
        <f t="shared" si="4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3"/>
        <v>0</v>
      </c>
      <c r="L81" s="2"/>
      <c r="M81" s="2"/>
      <c r="N81" s="2">
        <f t="shared" si="4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3"/>
        <v>0</v>
      </c>
      <c r="L82" s="2"/>
      <c r="M82" s="2"/>
      <c r="N82" s="2">
        <f t="shared" si="4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3"/>
        <v>0</v>
      </c>
      <c r="L83" s="2"/>
      <c r="M83" s="2"/>
      <c r="N83" s="2">
        <f t="shared" si="4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3"/>
        <v>0</v>
      </c>
      <c r="L84" s="2"/>
      <c r="M84" s="2"/>
      <c r="N84" s="2">
        <f t="shared" si="4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3"/>
        <v>0</v>
      </c>
      <c r="L85" s="2"/>
      <c r="M85" s="2"/>
      <c r="N85" s="2">
        <f t="shared" si="4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3"/>
        <v>0</v>
      </c>
      <c r="L86" s="2"/>
      <c r="M86" s="2"/>
      <c r="N86" s="2">
        <f t="shared" si="4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3"/>
        <v>0</v>
      </c>
      <c r="L87" s="2"/>
      <c r="M87" s="2"/>
      <c r="N87" s="2">
        <f t="shared" si="4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3"/>
        <v>0</v>
      </c>
      <c r="L88" s="2"/>
      <c r="M88" s="2"/>
      <c r="N88" s="2">
        <f t="shared" si="4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3"/>
        <v>0</v>
      </c>
      <c r="L89" s="2"/>
      <c r="M89" s="2"/>
      <c r="N89" s="2">
        <f t="shared" si="4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3"/>
        <v>0</v>
      </c>
      <c r="L90" s="2"/>
      <c r="M90" s="2"/>
      <c r="N90" s="2">
        <f t="shared" si="4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3"/>
        <v>0</v>
      </c>
      <c r="L91" s="2"/>
      <c r="M91" s="2"/>
      <c r="N91" s="2">
        <f t="shared" si="4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3"/>
        <v>0</v>
      </c>
      <c r="L92" s="2"/>
      <c r="M92" s="2"/>
      <c r="N92" s="2">
        <f t="shared" si="4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3"/>
        <v>0</v>
      </c>
      <c r="L93" s="2"/>
      <c r="M93" s="2"/>
      <c r="N93" s="2">
        <f t="shared" si="4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3"/>
        <v>0</v>
      </c>
      <c r="L94" s="2"/>
      <c r="M94" s="2"/>
      <c r="N94" s="2">
        <f t="shared" si="4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3"/>
        <v>0</v>
      </c>
      <c r="L95" s="2"/>
      <c r="M95" s="2"/>
      <c r="N95" s="2">
        <f t="shared" si="4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3"/>
        <v>0</v>
      </c>
      <c r="L96" s="2"/>
      <c r="M96" s="2"/>
      <c r="N96" s="2">
        <f t="shared" si="4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3"/>
        <v>0</v>
      </c>
      <c r="L97" s="2"/>
      <c r="M97" s="2"/>
      <c r="N97" s="2">
        <f t="shared" si="4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3"/>
        <v>0</v>
      </c>
      <c r="L98" s="2"/>
      <c r="M98" s="2"/>
      <c r="N98" s="2">
        <f t="shared" si="4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3"/>
        <v>0</v>
      </c>
      <c r="L99" s="2"/>
      <c r="M99" s="2"/>
      <c r="N99" s="2">
        <f t="shared" si="4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3"/>
        <v>0</v>
      </c>
      <c r="L100" s="9"/>
      <c r="M100" s="9"/>
      <c r="N100" s="9">
        <f t="shared" si="4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3"/>
        <v>0</v>
      </c>
      <c r="N101">
        <f t="shared" si="4"/>
        <v>0</v>
      </c>
    </row>
  </sheetData>
  <mergeCells count="59">
    <mergeCell ref="X8:Z8"/>
    <mergeCell ref="Y9:Z9"/>
    <mergeCell ref="Y10:Z10"/>
    <mergeCell ref="R11:S11"/>
    <mergeCell ref="T12:U12"/>
    <mergeCell ref="R12:S15"/>
    <mergeCell ref="R8:V8"/>
    <mergeCell ref="R9:S9"/>
    <mergeCell ref="U9:V9"/>
    <mergeCell ref="R10:S10"/>
    <mergeCell ref="U10:V10"/>
    <mergeCell ref="U11:V11"/>
    <mergeCell ref="A1:Z3"/>
    <mergeCell ref="A5:P5"/>
    <mergeCell ref="B6:F6"/>
    <mergeCell ref="G6:J6"/>
    <mergeCell ref="K6:P6"/>
    <mergeCell ref="R5:Z7"/>
    <mergeCell ref="V20:V23"/>
    <mergeCell ref="X22:Z22"/>
    <mergeCell ref="Y11:Z11"/>
    <mergeCell ref="X12:X13"/>
    <mergeCell ref="Y12:Z13"/>
    <mergeCell ref="X16:Z16"/>
    <mergeCell ref="Y17:Z17"/>
    <mergeCell ref="Y18:Z18"/>
    <mergeCell ref="R17:V17"/>
    <mergeCell ref="Y19:Z19"/>
    <mergeCell ref="Y20:Z20"/>
    <mergeCell ref="Y21:Z21"/>
    <mergeCell ref="R24:R27"/>
    <mergeCell ref="R19:R23"/>
    <mergeCell ref="R60:Z100"/>
    <mergeCell ref="U40:Z40"/>
    <mergeCell ref="U41:Z41"/>
    <mergeCell ref="U42:Z42"/>
    <mergeCell ref="U43:Z43"/>
    <mergeCell ref="U44:Z44"/>
    <mergeCell ref="U45:Z45"/>
    <mergeCell ref="U46:Z46"/>
    <mergeCell ref="U47:Z47"/>
    <mergeCell ref="U48:Z48"/>
    <mergeCell ref="U49:Z49"/>
    <mergeCell ref="U50:Z50"/>
    <mergeCell ref="U51:Z51"/>
    <mergeCell ref="U52:Z52"/>
    <mergeCell ref="AB30:AC30"/>
    <mergeCell ref="U53:Z53"/>
    <mergeCell ref="U54:Z54"/>
    <mergeCell ref="U55:Z55"/>
    <mergeCell ref="R57:Z59"/>
    <mergeCell ref="R30:Z31"/>
    <mergeCell ref="R38:Z39"/>
    <mergeCell ref="W36:X36"/>
    <mergeCell ref="W37:X37"/>
    <mergeCell ref="W32:X32"/>
    <mergeCell ref="W33:X33"/>
    <mergeCell ref="W34:X34"/>
    <mergeCell ref="W35:X35"/>
  </mergeCells>
  <phoneticPr fontId="2" type="noConversion"/>
  <dataValidations count="3">
    <dataValidation type="list" allowBlank="1" showInputMessage="1" showErrorMessage="1" sqref="O8:O101" xr:uid="{CC781EAC-6BFF-E248-A472-E35A41506FAC}">
      <formula1>$T$13:$T$15</formula1>
    </dataValidation>
    <dataValidation type="list" allowBlank="1" showInputMessage="1" showErrorMessage="1" sqref="R41:R55" xr:uid="{32123356-7FD2-9A44-A4BE-B1D2322C52E5}">
      <formula1>$R$33:$R$36</formula1>
    </dataValidation>
    <dataValidation type="list" allowBlank="1" showInputMessage="1" showErrorMessage="1" sqref="T41:T55" xr:uid="{56CFC801-8841-6C47-A6C1-F9F8722381F1}">
      <formula1>"技術,人為,過期,吃掉"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BC46D-ABF4-7941-94C7-CE6C13B6642C}">
  <sheetPr codeName="工作表34"/>
  <dimension ref="A1:AD101"/>
  <sheetViews>
    <sheetView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 t="s">
        <v>48</v>
      </c>
      <c r="B8" s="2">
        <v>3</v>
      </c>
      <c r="C8" s="2"/>
      <c r="D8" s="2"/>
      <c r="E8" s="2"/>
      <c r="F8" s="2"/>
      <c r="G8" s="2"/>
      <c r="H8" s="2"/>
      <c r="I8" s="2"/>
      <c r="J8" s="2"/>
      <c r="K8" s="2">
        <f t="shared" ref="K8:K39" si="0">SUM(SUM(B8:F8)*360,SUM(G8:J8)*90)</f>
        <v>1080</v>
      </c>
      <c r="L8" s="2">
        <v>0</v>
      </c>
      <c r="M8" s="2"/>
      <c r="N8" s="2">
        <f>K8+L8-M8</f>
        <v>1080</v>
      </c>
      <c r="O8" s="2" t="s">
        <v>27</v>
      </c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 t="s">
        <v>256</v>
      </c>
      <c r="B9" s="2">
        <v>13</v>
      </c>
      <c r="C9" s="2">
        <v>1</v>
      </c>
      <c r="D9" s="2">
        <v>1</v>
      </c>
      <c r="E9" s="2">
        <v>1</v>
      </c>
      <c r="F9" s="2"/>
      <c r="G9" s="2"/>
      <c r="H9" s="2"/>
      <c r="I9" s="2"/>
      <c r="J9" s="2"/>
      <c r="K9" s="2">
        <f t="shared" si="0"/>
        <v>5760</v>
      </c>
      <c r="L9" s="2"/>
      <c r="M9" s="2">
        <v>576</v>
      </c>
      <c r="N9" s="2">
        <f>K9+L9-M9</f>
        <v>5184</v>
      </c>
      <c r="O9" s="2" t="s">
        <v>25</v>
      </c>
      <c r="P9" s="3" t="s">
        <v>52</v>
      </c>
      <c r="R9" s="214" t="s">
        <v>32</v>
      </c>
      <c r="S9" s="214"/>
      <c r="T9" s="1" t="s">
        <v>22</v>
      </c>
      <c r="U9" s="244">
        <f>SUMIF(表格1_33479[欄1],"&lt;&gt;公關品",表格1_33479[運費])</f>
        <v>0</v>
      </c>
      <c r="V9" s="244"/>
      <c r="W9" s="2"/>
      <c r="X9" s="1" t="s">
        <v>109</v>
      </c>
      <c r="Y9" s="213">
        <f>INDEX('1'!Y12:Z13,1,1)</f>
        <v>880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林士娟：5184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 t="s">
        <v>47</v>
      </c>
      <c r="B10" s="2">
        <v>4</v>
      </c>
      <c r="C10" s="2"/>
      <c r="D10" s="2"/>
      <c r="E10" s="2"/>
      <c r="F10" s="2"/>
      <c r="G10" s="2"/>
      <c r="H10" s="2"/>
      <c r="I10" s="2"/>
      <c r="J10" s="2"/>
      <c r="K10" s="2">
        <f t="shared" si="0"/>
        <v>1440</v>
      </c>
      <c r="L10" s="2"/>
      <c r="M10" s="2"/>
      <c r="N10" s="2">
        <f>K10+L10-M10</f>
        <v>1440</v>
      </c>
      <c r="O10" s="2" t="s">
        <v>29</v>
      </c>
      <c r="P10" s="3"/>
      <c r="R10" s="241">
        <f>SUM(K8:K101)-V15</f>
        <v>11880</v>
      </c>
      <c r="S10" s="241"/>
      <c r="T10" s="1" t="s">
        <v>13</v>
      </c>
      <c r="U10" s="245">
        <f>SUM(M8:M101)</f>
        <v>576</v>
      </c>
      <c r="V10" s="245"/>
      <c r="W10" s="2"/>
      <c r="X10" s="1" t="s">
        <v>110</v>
      </c>
      <c r="Y10" s="213">
        <f>U15</f>
        <v>5184</v>
      </c>
      <c r="Z10" s="213"/>
    </row>
    <row r="11" spans="1:30">
      <c r="A11" s="7" t="s">
        <v>49</v>
      </c>
      <c r="B11" s="2">
        <v>2</v>
      </c>
      <c r="C11" s="2"/>
      <c r="D11" s="2"/>
      <c r="E11" s="2"/>
      <c r="F11" s="2"/>
      <c r="G11" s="2"/>
      <c r="H11" s="2"/>
      <c r="I11" s="2"/>
      <c r="J11" s="2"/>
      <c r="K11" s="2">
        <f t="shared" si="0"/>
        <v>720</v>
      </c>
      <c r="L11" s="2"/>
      <c r="M11" s="2"/>
      <c r="N11" s="2">
        <f>K11+L11-M11</f>
        <v>720</v>
      </c>
      <c r="O11" s="2" t="s">
        <v>29</v>
      </c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 t="s">
        <v>50</v>
      </c>
      <c r="B12" s="2">
        <v>8</v>
      </c>
      <c r="C12" s="2"/>
      <c r="D12" s="2"/>
      <c r="E12" s="2"/>
      <c r="F12" s="2"/>
      <c r="G12" s="2"/>
      <c r="H12" s="2"/>
      <c r="I12" s="2"/>
      <c r="J12" s="2"/>
      <c r="K12" s="2">
        <f t="shared" si="0"/>
        <v>2880</v>
      </c>
      <c r="L12" s="2">
        <v>0</v>
      </c>
      <c r="M12" s="2"/>
      <c r="N12" s="2">
        <f>K12+L12-M12</f>
        <v>2880</v>
      </c>
      <c r="O12" s="2" t="s">
        <v>27</v>
      </c>
      <c r="P12" s="3"/>
      <c r="R12" s="251">
        <f>R10-U10-U11</f>
        <v>11304</v>
      </c>
      <c r="S12" s="252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6064</v>
      </c>
      <c r="Z12" s="213"/>
    </row>
    <row r="13" spans="1:30" ht="15" customHeight="1">
      <c r="A13" s="18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ref="N13:N72" si="1">K13+L13-M13</f>
        <v>0</v>
      </c>
      <c r="O13" s="2"/>
      <c r="P13" s="3"/>
      <c r="R13" s="253"/>
      <c r="S13" s="254"/>
      <c r="T13" s="1" t="s">
        <v>28</v>
      </c>
      <c r="U13" s="1">
        <f>SUMIF(O8:O101,"匯款",N8:N101)</f>
        <v>3960</v>
      </c>
      <c r="V13" s="67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53"/>
      <c r="S14" s="254"/>
      <c r="T14" s="1" t="s">
        <v>30</v>
      </c>
      <c r="U14" s="1">
        <f>SUMIF(O8:O102,"現金",N8:N102)</f>
        <v>2160</v>
      </c>
      <c r="V14" s="67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55"/>
      <c r="S15" s="256"/>
      <c r="T15" s="1" t="s">
        <v>26</v>
      </c>
      <c r="U15" s="1">
        <f>SUMIF(O8:O102,"未結帳款",N8:N103)</f>
        <v>5184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249"/>
      <c r="Z18" s="250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30</v>
      </c>
      <c r="U19" s="2">
        <f ca="1">SUMIF(P8:P102,"公關品",B8:B100)</f>
        <v>0</v>
      </c>
      <c r="V19" s="15">
        <f ca="1">SUM(T19:T23,U19)</f>
        <v>33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1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1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1</v>
      </c>
      <c r="U22" s="2">
        <f ca="1">SUMIF(P8:P102,"公關品",E8:E100)</f>
        <v>0</v>
      </c>
      <c r="V22" s="114"/>
      <c r="W22" s="2"/>
      <c r="X22" s="246" t="s">
        <v>51</v>
      </c>
      <c r="Y22" s="246"/>
      <c r="Z22" s="246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1" t="s">
        <v>106</v>
      </c>
      <c r="Y23" s="1" t="s">
        <v>96</v>
      </c>
      <c r="Z23" s="1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34</v>
      </c>
      <c r="W24" s="2"/>
      <c r="X24" s="1" t="s">
        <v>103</v>
      </c>
      <c r="Y24" s="67"/>
      <c r="Z24" s="1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34</v>
      </c>
      <c r="W25" s="2"/>
      <c r="X25" s="1" t="s">
        <v>104</v>
      </c>
      <c r="Y25" s="67"/>
      <c r="Z25" s="1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34</v>
      </c>
      <c r="W26" s="2"/>
      <c r="X26" s="1" t="s">
        <v>105</v>
      </c>
      <c r="Y26" s="67"/>
      <c r="Z26" s="1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30</v>
      </c>
      <c r="W27" s="9"/>
      <c r="X27" s="1" t="s">
        <v>76</v>
      </c>
      <c r="Y27" s="67"/>
      <c r="Z27" s="1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'1'!Y33</f>
        <v>0</v>
      </c>
      <c r="T33" s="2">
        <v>48</v>
      </c>
      <c r="U33" s="2">
        <v>47</v>
      </c>
      <c r="V33" s="2">
        <f>SUMIF(R40:R55,"原味",S40:S55)</f>
        <v>6</v>
      </c>
      <c r="W33" s="114">
        <f ca="1">V24+U24+U19+U20*4</f>
        <v>34</v>
      </c>
      <c r="X33" s="114"/>
      <c r="Y33" s="13">
        <f ca="1">S33+U33-V33-W33</f>
        <v>7</v>
      </c>
      <c r="Z33" s="28">
        <f ca="1">IFERROR((V33/(U33+S33))," ")</f>
        <v>0.1276595744680851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'1'!Y34</f>
        <v>0</v>
      </c>
      <c r="T34" s="2">
        <v>48</v>
      </c>
      <c r="U34" s="2">
        <v>46</v>
      </c>
      <c r="V34" s="2">
        <f>SUMIF(R41:R55,"可可",S41:S55)</f>
        <v>5</v>
      </c>
      <c r="W34" s="114">
        <f ca="1">V25+U25+U19+U21*4</f>
        <v>34</v>
      </c>
      <c r="X34" s="114"/>
      <c r="Y34" s="13">
        <f ca="1">S34+U34-V34-W34</f>
        <v>7</v>
      </c>
      <c r="Z34" s="28">
        <f ca="1">IFERROR((V34/(U34+S34))," ")</f>
        <v>0.10869565217391304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'1'!Y35</f>
        <v>3</v>
      </c>
      <c r="T35" s="2">
        <v>48</v>
      </c>
      <c r="U35" s="2">
        <v>48</v>
      </c>
      <c r="V35" s="2">
        <f>SUMIF(R41:R55,"伯爵",S41:S55)</f>
        <v>3</v>
      </c>
      <c r="W35" s="114">
        <f ca="1">V26+U26+U19+U22*4</f>
        <v>34</v>
      </c>
      <c r="X35" s="114"/>
      <c r="Y35" s="13">
        <f ca="1">S35+U35-V35-W35</f>
        <v>14</v>
      </c>
      <c r="Z35" s="28">
        <f ca="1">IFERROR((V35/(U35+S35))," ")</f>
        <v>5.8823529411764705E-2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'1'!Y36</f>
        <v>4</v>
      </c>
      <c r="T36" s="30">
        <v>34</v>
      </c>
      <c r="U36" s="2">
        <v>34</v>
      </c>
      <c r="V36" s="2">
        <f>SUMIF(R41:R55,"抹茶",S41:S55)</f>
        <v>5</v>
      </c>
      <c r="W36" s="114">
        <f ca="1">V27+U27+U19+U23*4</f>
        <v>30</v>
      </c>
      <c r="X36" s="114"/>
      <c r="Y36" s="13">
        <f ca="1">S36+U36-V36-W36</f>
        <v>3</v>
      </c>
      <c r="Z36" s="28">
        <f ca="1">IFERROR((V36/(U36+S36))," ")</f>
        <v>0.13157894736842105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ref="K40:K71" si="2">SUM(SUM(B40:F40)*360,SUM(G40:J40)*90)</f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2"/>
        <v>0</v>
      </c>
      <c r="L41" s="2"/>
      <c r="M41" s="2"/>
      <c r="N41" s="2">
        <f t="shared" si="1"/>
        <v>0</v>
      </c>
      <c r="O41" s="2"/>
      <c r="P41" s="3"/>
      <c r="R41" s="7" t="s">
        <v>68</v>
      </c>
      <c r="S41" s="2">
        <v>6</v>
      </c>
      <c r="T41" s="15" t="s">
        <v>99</v>
      </c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2"/>
        <v>0</v>
      </c>
      <c r="L42" s="2"/>
      <c r="M42" s="2"/>
      <c r="N42" s="2">
        <f t="shared" si="1"/>
        <v>0</v>
      </c>
      <c r="O42" s="2"/>
      <c r="P42" s="3"/>
      <c r="R42" s="7" t="s">
        <v>70</v>
      </c>
      <c r="S42">
        <v>3</v>
      </c>
      <c r="T42" s="15" t="s">
        <v>99</v>
      </c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2"/>
        <v>0</v>
      </c>
      <c r="L43" s="2"/>
      <c r="M43" s="2"/>
      <c r="N43" s="2">
        <f t="shared" si="1"/>
        <v>0</v>
      </c>
      <c r="O43" s="2"/>
      <c r="P43" s="3"/>
      <c r="R43" s="7" t="s">
        <v>69</v>
      </c>
      <c r="S43" s="2">
        <v>3</v>
      </c>
      <c r="T43" s="15" t="s">
        <v>99</v>
      </c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2"/>
        <v>0</v>
      </c>
      <c r="L44" s="2"/>
      <c r="M44" s="2"/>
      <c r="N44" s="2">
        <f t="shared" si="1"/>
        <v>0</v>
      </c>
      <c r="O44" s="2"/>
      <c r="P44" s="3"/>
      <c r="R44" s="7" t="s">
        <v>69</v>
      </c>
      <c r="S44" s="30">
        <v>2</v>
      </c>
      <c r="T44" s="15" t="s">
        <v>102</v>
      </c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2"/>
        <v>0</v>
      </c>
      <c r="L45" s="2"/>
      <c r="M45" s="2"/>
      <c r="N45" s="2">
        <f t="shared" si="1"/>
        <v>0</v>
      </c>
      <c r="O45" s="2"/>
      <c r="P45" s="3"/>
      <c r="R45" s="7" t="s">
        <v>71</v>
      </c>
      <c r="S45" s="30">
        <v>5</v>
      </c>
      <c r="T45" s="15" t="s">
        <v>99</v>
      </c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2"/>
        <v>0</v>
      </c>
      <c r="L46" s="2"/>
      <c r="M46" s="2"/>
      <c r="N46" s="2">
        <f t="shared" si="1"/>
        <v>0</v>
      </c>
      <c r="O46" s="2"/>
      <c r="P46" s="3"/>
      <c r="R46" s="7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2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2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2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2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2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2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2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2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2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2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2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2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2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2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2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2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2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2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2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2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2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2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2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2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2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3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3"/>
        <v>0</v>
      </c>
      <c r="L73" s="2"/>
      <c r="M73" s="2"/>
      <c r="N73" s="2">
        <f t="shared" ref="N73:N101" si="4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3"/>
        <v>0</v>
      </c>
      <c r="L74" s="2"/>
      <c r="M74" s="2"/>
      <c r="N74" s="2">
        <f t="shared" si="4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3"/>
        <v>0</v>
      </c>
      <c r="L75" s="2"/>
      <c r="M75" s="2"/>
      <c r="N75" s="2">
        <f t="shared" si="4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3"/>
        <v>0</v>
      </c>
      <c r="L76" s="2"/>
      <c r="M76" s="2"/>
      <c r="N76" s="2">
        <f t="shared" si="4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3"/>
        <v>0</v>
      </c>
      <c r="L77" s="2"/>
      <c r="M77" s="2"/>
      <c r="N77" s="2">
        <f t="shared" si="4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3"/>
        <v>0</v>
      </c>
      <c r="L78" s="2"/>
      <c r="M78" s="2"/>
      <c r="N78" s="2">
        <f t="shared" si="4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3"/>
        <v>0</v>
      </c>
      <c r="L79" s="2"/>
      <c r="M79" s="2"/>
      <c r="N79" s="2">
        <f t="shared" si="4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3"/>
        <v>0</v>
      </c>
      <c r="L80" s="2"/>
      <c r="M80" s="2"/>
      <c r="N80" s="2">
        <f t="shared" si="4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3"/>
        <v>0</v>
      </c>
      <c r="L81" s="2"/>
      <c r="M81" s="2"/>
      <c r="N81" s="2">
        <f t="shared" si="4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3"/>
        <v>0</v>
      </c>
      <c r="L82" s="2"/>
      <c r="M82" s="2"/>
      <c r="N82" s="2">
        <f t="shared" si="4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3"/>
        <v>0</v>
      </c>
      <c r="L83" s="2"/>
      <c r="M83" s="2"/>
      <c r="N83" s="2">
        <f t="shared" si="4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3"/>
        <v>0</v>
      </c>
      <c r="L84" s="2"/>
      <c r="M84" s="2"/>
      <c r="N84" s="2">
        <f t="shared" si="4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3"/>
        <v>0</v>
      </c>
      <c r="L85" s="2"/>
      <c r="M85" s="2"/>
      <c r="N85" s="2">
        <f t="shared" si="4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3"/>
        <v>0</v>
      </c>
      <c r="L86" s="2"/>
      <c r="M86" s="2"/>
      <c r="N86" s="2">
        <f t="shared" si="4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3"/>
        <v>0</v>
      </c>
      <c r="L87" s="2"/>
      <c r="M87" s="2"/>
      <c r="N87" s="2">
        <f t="shared" si="4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3"/>
        <v>0</v>
      </c>
      <c r="L88" s="2"/>
      <c r="M88" s="2"/>
      <c r="N88" s="2">
        <f t="shared" si="4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3"/>
        <v>0</v>
      </c>
      <c r="L89" s="2"/>
      <c r="M89" s="2"/>
      <c r="N89" s="2">
        <f t="shared" si="4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3"/>
        <v>0</v>
      </c>
      <c r="L90" s="2"/>
      <c r="M90" s="2"/>
      <c r="N90" s="2">
        <f t="shared" si="4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3"/>
        <v>0</v>
      </c>
      <c r="L91" s="2"/>
      <c r="M91" s="2"/>
      <c r="N91" s="2">
        <f t="shared" si="4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3"/>
        <v>0</v>
      </c>
      <c r="L92" s="2"/>
      <c r="M92" s="2"/>
      <c r="N92" s="2">
        <f t="shared" si="4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3"/>
        <v>0</v>
      </c>
      <c r="L93" s="2"/>
      <c r="M93" s="2"/>
      <c r="N93" s="2">
        <f t="shared" si="4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3"/>
        <v>0</v>
      </c>
      <c r="L94" s="2"/>
      <c r="M94" s="2"/>
      <c r="N94" s="2">
        <f t="shared" si="4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3"/>
        <v>0</v>
      </c>
      <c r="L95" s="2"/>
      <c r="M95" s="2"/>
      <c r="N95" s="2">
        <f t="shared" si="4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3"/>
        <v>0</v>
      </c>
      <c r="L96" s="2"/>
      <c r="M96" s="2"/>
      <c r="N96" s="2">
        <f t="shared" si="4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3"/>
        <v>0</v>
      </c>
      <c r="L97" s="2"/>
      <c r="M97" s="2"/>
      <c r="N97" s="2">
        <f t="shared" si="4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3"/>
        <v>0</v>
      </c>
      <c r="L98" s="2"/>
      <c r="M98" s="2"/>
      <c r="N98" s="2">
        <f t="shared" si="4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3"/>
        <v>0</v>
      </c>
      <c r="L99" s="2"/>
      <c r="M99" s="2"/>
      <c r="N99" s="2">
        <f t="shared" si="4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3"/>
        <v>0</v>
      </c>
      <c r="L100" s="9"/>
      <c r="M100" s="9"/>
      <c r="N100" s="9">
        <f t="shared" si="4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3"/>
        <v>0</v>
      </c>
      <c r="N101">
        <f t="shared" si="4"/>
        <v>0</v>
      </c>
    </row>
  </sheetData>
  <mergeCells count="59">
    <mergeCell ref="A1:Z3"/>
    <mergeCell ref="A5:P5"/>
    <mergeCell ref="R5:Z7"/>
    <mergeCell ref="B6:F6"/>
    <mergeCell ref="G6:J6"/>
    <mergeCell ref="K6:P6"/>
    <mergeCell ref="Y21:Z21"/>
    <mergeCell ref="R8:V8"/>
    <mergeCell ref="X16:Z16"/>
    <mergeCell ref="R9:S9"/>
    <mergeCell ref="U9:V9"/>
    <mergeCell ref="Y17:Z17"/>
    <mergeCell ref="R10:S10"/>
    <mergeCell ref="U10:V10"/>
    <mergeCell ref="Y18:Z18"/>
    <mergeCell ref="U11:V11"/>
    <mergeCell ref="Y19:Z19"/>
    <mergeCell ref="R12:S15"/>
    <mergeCell ref="T12:U12"/>
    <mergeCell ref="Y20:Z20"/>
    <mergeCell ref="U45:Z45"/>
    <mergeCell ref="W33:X33"/>
    <mergeCell ref="W34:X34"/>
    <mergeCell ref="W35:X35"/>
    <mergeCell ref="W36:X36"/>
    <mergeCell ref="W37:X37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R38:Z39"/>
    <mergeCell ref="X22:Z22"/>
    <mergeCell ref="X8:Z8"/>
    <mergeCell ref="Y9:Z9"/>
    <mergeCell ref="Y10:Z10"/>
    <mergeCell ref="Y11:Z11"/>
    <mergeCell ref="X12:X13"/>
    <mergeCell ref="Y12:Z13"/>
    <mergeCell ref="R17:V17"/>
    <mergeCell ref="R19:R23"/>
    <mergeCell ref="V20:V23"/>
    <mergeCell ref="R24:R27"/>
    <mergeCell ref="R30:Z31"/>
    <mergeCell ref="W32:X32"/>
    <mergeCell ref="R11:S11"/>
  </mergeCells>
  <phoneticPr fontId="2" type="noConversion"/>
  <dataValidations count="4">
    <dataValidation type="list" allowBlank="1" showInputMessage="1" showErrorMessage="1" sqref="O13:O101" xr:uid="{10B2B6E2-630D-CF40-9BCE-511E055544A5}">
      <formula1>$T$13:$T$15</formula1>
    </dataValidation>
    <dataValidation type="list" allowBlank="1" showInputMessage="1" showErrorMessage="1" sqref="O8:O12" xr:uid="{89B7F53F-BE24-D742-9565-2E79A4264A7B}">
      <formula1>$T$12:$T$15</formula1>
    </dataValidation>
    <dataValidation type="list" allowBlank="1" showInputMessage="1" showErrorMessage="1" sqref="R47:R55 R41:R45" xr:uid="{224C6592-EBB2-514B-906C-35A5024DC707}">
      <formula1>$R$33:$R$36</formula1>
    </dataValidation>
    <dataValidation type="list" allowBlank="1" showInputMessage="1" showErrorMessage="1" sqref="T47:T55 T41:T45" xr:uid="{23E7BBBC-549A-FD4F-9672-0E6CBF307585}">
      <formula1>"技術,人為,過期,吃掉"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5902-2B3C-9B4F-8EE8-E2C06183E731}">
  <sheetPr codeName="工作表5"/>
  <dimension ref="A1:AD101"/>
  <sheetViews>
    <sheetView zoomScale="88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 t="s">
        <v>49</v>
      </c>
      <c r="B8" s="2">
        <v>1</v>
      </c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360</v>
      </c>
      <c r="L8" s="2"/>
      <c r="M8" s="2"/>
      <c r="N8" s="2">
        <f>K8+L8-M8</f>
        <v>360</v>
      </c>
      <c r="O8" s="2" t="s">
        <v>29</v>
      </c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18"/>
      <c r="B9" s="2"/>
      <c r="C9" s="2"/>
      <c r="D9" s="2"/>
      <c r="E9" s="2"/>
      <c r="F9" s="2"/>
      <c r="G9" s="2"/>
      <c r="H9" s="2"/>
      <c r="I9" s="2"/>
      <c r="J9" s="2"/>
      <c r="K9" s="2">
        <f>SUM(SUM(B9:F9)*360,SUM(G9:J9)*90)</f>
        <v>0</v>
      </c>
      <c r="L9" s="2"/>
      <c r="M9" s="2"/>
      <c r="N9" s="2">
        <f t="shared" ref="N9:N72" si="1">K9+L9-M9</f>
        <v>0</v>
      </c>
      <c r="O9" s="2"/>
      <c r="P9" s="3" t="s">
        <v>55</v>
      </c>
      <c r="R9" s="214" t="s">
        <v>32</v>
      </c>
      <c r="S9" s="214"/>
      <c r="T9" s="1" t="s">
        <v>22</v>
      </c>
      <c r="U9" s="244">
        <f>SUMIF(表格1_334[欄1],"&lt;&gt;公關品",表格1_334[運費])</f>
        <v>0</v>
      </c>
      <c r="V9" s="244"/>
      <c r="W9" s="2"/>
      <c r="X9" s="1" t="s">
        <v>109</v>
      </c>
      <c r="Y9" s="213">
        <f>INDEX('2'!Y12:Z13,1,1)</f>
        <v>6064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林祥睿：1080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 t="s">
        <v>118</v>
      </c>
      <c r="B10" s="2"/>
      <c r="C10" s="2">
        <v>1</v>
      </c>
      <c r="D10" s="2">
        <v>1</v>
      </c>
      <c r="E10" s="2">
        <v>1</v>
      </c>
      <c r="F10" s="2"/>
      <c r="G10" s="2"/>
      <c r="H10" s="2"/>
      <c r="I10" s="2"/>
      <c r="J10" s="2"/>
      <c r="K10" s="2">
        <f t="shared" si="0"/>
        <v>1080</v>
      </c>
      <c r="L10" s="2"/>
      <c r="M10" s="2"/>
      <c r="N10" s="2">
        <f t="shared" si="1"/>
        <v>1080</v>
      </c>
      <c r="O10" s="2" t="s">
        <v>25</v>
      </c>
      <c r="P10" s="3"/>
      <c r="R10" s="241">
        <f>SUM(K8:K101)-V15</f>
        <v>1440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1080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1440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7144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360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1080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1</v>
      </c>
      <c r="U19" s="2">
        <f ca="1">SUMIF(P8:P102,"公關品",B8:B100)</f>
        <v>0</v>
      </c>
      <c r="V19" s="15">
        <f ca="1">SUM(T19:T23,U19)</f>
        <v>4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1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1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1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5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5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5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1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'2'!Y33</f>
        <v>7</v>
      </c>
      <c r="T33" s="2"/>
      <c r="U33" s="2">
        <v>0</v>
      </c>
      <c r="V33" s="2">
        <f>SUMIF(R40:R55,"原味",S40:S55)</f>
        <v>0</v>
      </c>
      <c r="W33" s="114">
        <f ca="1">V24+U24+U19+U20*4</f>
        <v>5</v>
      </c>
      <c r="X33" s="114"/>
      <c r="Y33" s="13">
        <f ca="1">S33+U33-V33-W33</f>
        <v>2</v>
      </c>
      <c r="Z33" s="28">
        <f ca="1">IFERROR((V33/(U33+S33))," ")</f>
        <v>0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'2'!Y34</f>
        <v>7</v>
      </c>
      <c r="T34" s="2"/>
      <c r="U34" s="2">
        <v>0</v>
      </c>
      <c r="V34" s="2">
        <f>SUMIF(R41:R55,"可可",S41:S55)</f>
        <v>0</v>
      </c>
      <c r="W34" s="114">
        <f ca="1">V25+U25+U19+U21*4</f>
        <v>5</v>
      </c>
      <c r="X34" s="114"/>
      <c r="Y34" s="13">
        <f ca="1">S34+U34-V34-W34</f>
        <v>2</v>
      </c>
      <c r="Z34" s="28">
        <f ca="1">IFERROR((V34/(U34+S34))," ")</f>
        <v>0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'2'!Y35</f>
        <v>14</v>
      </c>
      <c r="T35" s="2">
        <v>0</v>
      </c>
      <c r="U35" s="2">
        <v>0</v>
      </c>
      <c r="V35" s="2">
        <f>SUMIF(R41:R55,"伯爵",S41:S55)</f>
        <v>5</v>
      </c>
      <c r="W35" s="114">
        <f ca="1">V26+U26+U19+U22*4</f>
        <v>5</v>
      </c>
      <c r="X35" s="114"/>
      <c r="Y35" s="13">
        <f ca="1">S35+U35-V35-W35</f>
        <v>4</v>
      </c>
      <c r="Z35" s="28">
        <f ca="1">IFERROR((V35/(U35+S35))," ")</f>
        <v>0.35714285714285715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'2'!Y36</f>
        <v>3</v>
      </c>
      <c r="T36" s="30">
        <v>0</v>
      </c>
      <c r="U36" s="2">
        <v>0</v>
      </c>
      <c r="V36" s="2">
        <f>SUMIF(R41:R55,"抹茶",S41:S55)</f>
        <v>0</v>
      </c>
      <c r="W36" s="114">
        <f ca="1">V27+U27+U19+U23*4</f>
        <v>1</v>
      </c>
      <c r="X36" s="114"/>
      <c r="Y36" s="13">
        <f ca="1">S36+U36-V36-W36</f>
        <v>2</v>
      </c>
      <c r="Z36" s="28">
        <f ca="1">IFERROR((V36/(U36+S36))," ")</f>
        <v>0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 t="s">
        <v>70</v>
      </c>
      <c r="S41" s="2">
        <v>5</v>
      </c>
      <c r="T41" s="15" t="s">
        <v>102</v>
      </c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X22:Z22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T41:T55" xr:uid="{DA7515D1-266E-114B-8BC5-408BFA2FC66B}">
      <formula1>"技術,人為,過期,吃掉"</formula1>
    </dataValidation>
    <dataValidation type="list" allowBlank="1" showInputMessage="1" showErrorMessage="1" sqref="R41:R55" xr:uid="{1DB0FD57-3222-1C4C-AA5A-9EB3E3A2603E}">
      <formula1>$R$33:$R$36</formula1>
    </dataValidation>
    <dataValidation type="list" allowBlank="1" showInputMessage="1" showErrorMessage="1" sqref="O8:O101" xr:uid="{C0B01C68-2F59-CA46-9BDC-D65090380691}">
      <formula1>$T$13:$T$15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1AEA3-E730-ED4E-BB5A-44B8DAC99369}">
  <sheetPr codeName="工作表6"/>
  <dimension ref="A1:AD101"/>
  <sheetViews>
    <sheetView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 t="s">
        <v>118</v>
      </c>
      <c r="B8" s="2">
        <v>8</v>
      </c>
      <c r="C8" s="2"/>
      <c r="D8" s="2"/>
      <c r="E8" s="2"/>
      <c r="F8" s="2"/>
      <c r="G8" s="2"/>
      <c r="H8" s="2"/>
      <c r="I8" s="2"/>
      <c r="J8" s="2"/>
      <c r="K8" s="2">
        <f t="shared" ref="K8:K39" si="0">SUM(SUM(B8:F8)*360,SUM(G8:J8)*90)</f>
        <v>2880</v>
      </c>
      <c r="L8" s="2"/>
      <c r="M8" s="2"/>
      <c r="N8" s="2">
        <f>K8+L8-M8</f>
        <v>2880</v>
      </c>
      <c r="O8" s="2" t="s">
        <v>25</v>
      </c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SUMIF(表格1_33451[欄1],"&lt;&gt;公關品",表格1_33451[運費])</f>
        <v>0</v>
      </c>
      <c r="V9" s="244"/>
      <c r="W9" s="2"/>
      <c r="X9" s="1" t="s">
        <v>109</v>
      </c>
      <c r="Y9" s="213">
        <f>INDEX('3'!Y12:Z13,1,1)</f>
        <v>7144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林祥睿：2880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2880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2880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2880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10024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2880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8</v>
      </c>
      <c r="U19" s="2">
        <f ca="1">SUMIF(P8:P102,"公關品",B8:B100)</f>
        <v>0</v>
      </c>
      <c r="V19" s="15">
        <f ca="1">SUM(T19:T23,U19)</f>
        <v>8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8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8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8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8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'3'!Y33</f>
        <v>2</v>
      </c>
      <c r="T33" s="2">
        <v>16</v>
      </c>
      <c r="U33" s="2">
        <v>17</v>
      </c>
      <c r="V33" s="2">
        <f>SUMIF(R40:R55,"原味",S40:S55)</f>
        <v>1</v>
      </c>
      <c r="W33" s="114">
        <f ca="1">V24+U24+U19+U20*4</f>
        <v>8</v>
      </c>
      <c r="X33" s="114"/>
      <c r="Y33" s="13">
        <f ca="1">S33+U33-V33-W33</f>
        <v>10</v>
      </c>
      <c r="Z33" s="28">
        <f ca="1">IFERROR((V33/(U33+S33))," ")</f>
        <v>5.2631578947368418E-2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'3'!Y34</f>
        <v>2</v>
      </c>
      <c r="T34" s="2">
        <v>16</v>
      </c>
      <c r="U34" s="2">
        <v>16</v>
      </c>
      <c r="V34" s="2">
        <f>SUMIF(R41:R55,"可可",S41:S55)</f>
        <v>0</v>
      </c>
      <c r="W34" s="114">
        <f ca="1">V25+U25+U19+U21*4</f>
        <v>8</v>
      </c>
      <c r="X34" s="114"/>
      <c r="Y34" s="13">
        <f ca="1">S34+U34-V34-W34</f>
        <v>10</v>
      </c>
      <c r="Z34" s="28">
        <f ca="1">IFERROR((V34/(U34+S34))," ")</f>
        <v>0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'3'!Y35</f>
        <v>4</v>
      </c>
      <c r="T35" s="2">
        <v>16</v>
      </c>
      <c r="U35" s="2">
        <v>17</v>
      </c>
      <c r="V35" s="2">
        <f>SUMIF(R41:R55,"伯爵",S41:S55)</f>
        <v>0</v>
      </c>
      <c r="W35" s="114">
        <f ca="1">V26+U26+U19+U22*4</f>
        <v>8</v>
      </c>
      <c r="X35" s="114"/>
      <c r="Y35" s="13">
        <f ca="1">S35+U35-V35-W35</f>
        <v>13</v>
      </c>
      <c r="Z35" s="28">
        <f ca="1">IFERROR((V35/(U35+S35))," ")</f>
        <v>0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'3'!Y36</f>
        <v>2</v>
      </c>
      <c r="T36" s="30">
        <v>16</v>
      </c>
      <c r="U36" s="30">
        <v>17</v>
      </c>
      <c r="V36" s="2">
        <f>SUMIF(R41:R55,"抹茶",S41:S55)</f>
        <v>0</v>
      </c>
      <c r="W36" s="114">
        <f ca="1">V27+U27+U19+U23*4</f>
        <v>8</v>
      </c>
      <c r="X36" s="114"/>
      <c r="Y36" s="13">
        <f ca="1">S36+U36-V36-W36</f>
        <v>11</v>
      </c>
      <c r="Z36" s="28">
        <f ca="1">IFERROR((V36/(U36+S36))," ")</f>
        <v>0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ref="K40:K71" si="2">SUM(SUM(B40:F40)*360,SUM(G40:J40)*90)</f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2"/>
        <v>0</v>
      </c>
      <c r="L41" s="2"/>
      <c r="M41" s="2"/>
      <c r="N41" s="2">
        <f t="shared" si="1"/>
        <v>0</v>
      </c>
      <c r="O41" s="2"/>
      <c r="P41" s="3"/>
      <c r="R41" s="7" t="s">
        <v>68</v>
      </c>
      <c r="S41" s="2">
        <v>1</v>
      </c>
      <c r="T41" s="15" t="s">
        <v>99</v>
      </c>
      <c r="U41" s="182" t="s">
        <v>98</v>
      </c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2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2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2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2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2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2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2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2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2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2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2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2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2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2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2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2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2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2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2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2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2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2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2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2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2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2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2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2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2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2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3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3"/>
        <v>0</v>
      </c>
      <c r="L73" s="2"/>
      <c r="M73" s="2"/>
      <c r="N73" s="2">
        <f t="shared" ref="N73:N101" si="4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3"/>
        <v>0</v>
      </c>
      <c r="L74" s="2"/>
      <c r="M74" s="2"/>
      <c r="N74" s="2">
        <f t="shared" si="4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3"/>
        <v>0</v>
      </c>
      <c r="L75" s="2"/>
      <c r="M75" s="2"/>
      <c r="N75" s="2">
        <f t="shared" si="4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3"/>
        <v>0</v>
      </c>
      <c r="L76" s="2"/>
      <c r="M76" s="2"/>
      <c r="N76" s="2">
        <f t="shared" si="4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3"/>
        <v>0</v>
      </c>
      <c r="L77" s="2"/>
      <c r="M77" s="2"/>
      <c r="N77" s="2">
        <f t="shared" si="4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3"/>
        <v>0</v>
      </c>
      <c r="L78" s="2"/>
      <c r="M78" s="2"/>
      <c r="N78" s="2">
        <f t="shared" si="4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3"/>
        <v>0</v>
      </c>
      <c r="L79" s="2"/>
      <c r="M79" s="2"/>
      <c r="N79" s="2">
        <f t="shared" si="4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3"/>
        <v>0</v>
      </c>
      <c r="L80" s="2"/>
      <c r="M80" s="2"/>
      <c r="N80" s="2">
        <f t="shared" si="4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3"/>
        <v>0</v>
      </c>
      <c r="L81" s="2"/>
      <c r="M81" s="2"/>
      <c r="N81" s="2">
        <f t="shared" si="4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3"/>
        <v>0</v>
      </c>
      <c r="L82" s="2"/>
      <c r="M82" s="2"/>
      <c r="N82" s="2">
        <f t="shared" si="4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3"/>
        <v>0</v>
      </c>
      <c r="L83" s="2"/>
      <c r="M83" s="2"/>
      <c r="N83" s="2">
        <f t="shared" si="4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3"/>
        <v>0</v>
      </c>
      <c r="L84" s="2"/>
      <c r="M84" s="2"/>
      <c r="N84" s="2">
        <f t="shared" si="4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3"/>
        <v>0</v>
      </c>
      <c r="L85" s="2"/>
      <c r="M85" s="2"/>
      <c r="N85" s="2">
        <f t="shared" si="4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3"/>
        <v>0</v>
      </c>
      <c r="L86" s="2"/>
      <c r="M86" s="2"/>
      <c r="N86" s="2">
        <f t="shared" si="4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3"/>
        <v>0</v>
      </c>
      <c r="L87" s="2"/>
      <c r="M87" s="2"/>
      <c r="N87" s="2">
        <f t="shared" si="4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3"/>
        <v>0</v>
      </c>
      <c r="L88" s="2"/>
      <c r="M88" s="2"/>
      <c r="N88" s="2">
        <f t="shared" si="4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3"/>
        <v>0</v>
      </c>
      <c r="L89" s="2"/>
      <c r="M89" s="2"/>
      <c r="N89" s="2">
        <f t="shared" si="4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3"/>
        <v>0</v>
      </c>
      <c r="L90" s="2"/>
      <c r="M90" s="2"/>
      <c r="N90" s="2">
        <f t="shared" si="4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3"/>
        <v>0</v>
      </c>
      <c r="L91" s="2"/>
      <c r="M91" s="2"/>
      <c r="N91" s="2">
        <f t="shared" si="4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3"/>
        <v>0</v>
      </c>
      <c r="L92" s="2"/>
      <c r="M92" s="2"/>
      <c r="N92" s="2">
        <f t="shared" si="4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3"/>
        <v>0</v>
      </c>
      <c r="L93" s="2"/>
      <c r="M93" s="2"/>
      <c r="N93" s="2">
        <f t="shared" si="4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3"/>
        <v>0</v>
      </c>
      <c r="L94" s="2"/>
      <c r="M94" s="2"/>
      <c r="N94" s="2">
        <f t="shared" si="4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3"/>
        <v>0</v>
      </c>
      <c r="L95" s="2"/>
      <c r="M95" s="2"/>
      <c r="N95" s="2">
        <f t="shared" si="4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3"/>
        <v>0</v>
      </c>
      <c r="L96" s="2"/>
      <c r="M96" s="2"/>
      <c r="N96" s="2">
        <f t="shared" si="4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3"/>
        <v>0</v>
      </c>
      <c r="L97" s="2"/>
      <c r="M97" s="2"/>
      <c r="N97" s="2">
        <f t="shared" si="4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3"/>
        <v>0</v>
      </c>
      <c r="L98" s="2"/>
      <c r="M98" s="2"/>
      <c r="N98" s="2">
        <f t="shared" si="4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3"/>
        <v>0</v>
      </c>
      <c r="L99" s="2"/>
      <c r="M99" s="2"/>
      <c r="N99" s="2">
        <f t="shared" si="4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3"/>
        <v>0</v>
      </c>
      <c r="L100" s="9"/>
      <c r="M100" s="9"/>
      <c r="N100" s="9">
        <f t="shared" si="4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3"/>
        <v>0</v>
      </c>
      <c r="N101">
        <f t="shared" si="4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O8:O101" xr:uid="{76810EA5-F077-F546-9443-1346AB7D6AF2}">
      <formula1>$T$13:$T$15</formula1>
    </dataValidation>
    <dataValidation type="list" allowBlank="1" showInputMessage="1" showErrorMessage="1" sqref="R41:R55" xr:uid="{646A281D-8B4F-354E-A718-95565D51EAC6}">
      <formula1>$R$33:$R$36</formula1>
    </dataValidation>
    <dataValidation type="list" allowBlank="1" showInputMessage="1" showErrorMessage="1" sqref="T41:T55" xr:uid="{8EBFECC0-C06A-7C43-8BB9-842DF0823609}">
      <formula1>"技術,人為,過期,吃掉"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AB8B-C44D-BD48-BC8F-C6B0E8BA6209}">
  <sheetPr codeName="工作表7"/>
  <dimension ref="A1:AD101"/>
  <sheetViews>
    <sheetView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SUMIF(表格1_3345152[欄1],"&lt;&gt;公關品",表格1_3345152[運費])</f>
        <v>0</v>
      </c>
      <c r="V9" s="244"/>
      <c r="W9" s="2"/>
      <c r="X9" s="1" t="s">
        <v>109</v>
      </c>
      <c r="Y9" s="213">
        <f>INDEX('4'!Y12:Z13,1,1)</f>
        <v>10024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10024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'4'!Y33</f>
        <v>10</v>
      </c>
      <c r="T33" s="2">
        <v>30</v>
      </c>
      <c r="U33" s="2">
        <v>30</v>
      </c>
      <c r="V33" s="2">
        <f>SUMIF(R40:R55,"原味",S40:S55)</f>
        <v>6</v>
      </c>
      <c r="W33" s="114">
        <f ca="1">V24+U24+U19+U20*4</f>
        <v>0</v>
      </c>
      <c r="X33" s="114"/>
      <c r="Y33" s="13">
        <f ca="1">S33+U33-V33-W33</f>
        <v>34</v>
      </c>
      <c r="Z33" s="28">
        <f ca="1">IFERROR((V33/(U33+S33))," ")</f>
        <v>0.15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'4'!Y34</f>
        <v>10</v>
      </c>
      <c r="T34" s="2">
        <v>30</v>
      </c>
      <c r="U34" s="2">
        <v>31</v>
      </c>
      <c r="V34" s="2">
        <f>SUMIF(R41:R55,"可可",S41:S55)</f>
        <v>2</v>
      </c>
      <c r="W34" s="114">
        <f ca="1">V25+U25+U19+U21*4</f>
        <v>0</v>
      </c>
      <c r="X34" s="114"/>
      <c r="Y34" s="13">
        <f ca="1">S34+U34-V34-W34</f>
        <v>39</v>
      </c>
      <c r="Z34" s="28">
        <f ca="1">IFERROR((V34/(U34+S34))," ")</f>
        <v>4.878048780487805E-2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'4'!Y35</f>
        <v>13</v>
      </c>
      <c r="T35" s="2">
        <v>30</v>
      </c>
      <c r="U35" s="2">
        <v>30</v>
      </c>
      <c r="V35" s="2">
        <f>SUMIF(R41:R55,"伯爵",S41:S55)</f>
        <v>1</v>
      </c>
      <c r="W35" s="114">
        <f ca="1">V26+U26+U19+U22*4</f>
        <v>0</v>
      </c>
      <c r="X35" s="114"/>
      <c r="Y35" s="13">
        <f ca="1">S35+U35-V35-W35</f>
        <v>42</v>
      </c>
      <c r="Z35" s="28">
        <f ca="1">IFERROR((V35/(U35+S35))," ")</f>
        <v>2.3255813953488372E-2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'4'!Y36</f>
        <v>11</v>
      </c>
      <c r="T36" s="30">
        <v>30</v>
      </c>
      <c r="U36" s="30">
        <v>30</v>
      </c>
      <c r="V36" s="2">
        <f>SUMIF(R41:R55,"抹茶",S41:S55)</f>
        <v>6</v>
      </c>
      <c r="W36" s="114">
        <f ca="1">V27+U27+U19+U23*4</f>
        <v>0</v>
      </c>
      <c r="X36" s="114"/>
      <c r="Y36" s="13">
        <f ca="1">S36+U36-V36-W36</f>
        <v>35</v>
      </c>
      <c r="Z36" s="28">
        <f ca="1">IFERROR((V36/(U36+S36))," ")</f>
        <v>0.14634146341463414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 t="s">
        <v>68</v>
      </c>
      <c r="S41" s="2">
        <v>1</v>
      </c>
      <c r="T41" s="15" t="s">
        <v>102</v>
      </c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 t="s">
        <v>69</v>
      </c>
      <c r="S42" s="2">
        <v>2</v>
      </c>
      <c r="T42" s="15" t="s">
        <v>102</v>
      </c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 t="s">
        <v>70</v>
      </c>
      <c r="S43">
        <v>1</v>
      </c>
      <c r="T43" s="15" t="s">
        <v>102</v>
      </c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 t="s">
        <v>68</v>
      </c>
      <c r="S45" s="30">
        <v>5</v>
      </c>
      <c r="T45" s="15" t="s">
        <v>99</v>
      </c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 t="s">
        <v>71</v>
      </c>
      <c r="S46" s="30">
        <v>6</v>
      </c>
      <c r="T46" s="15" t="s">
        <v>99</v>
      </c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T41:T55" xr:uid="{95D44187-C636-2341-A289-DCE12C9F8C83}">
      <formula1>"技術,人為,過期,吃掉"</formula1>
    </dataValidation>
    <dataValidation type="list" allowBlank="1" showInputMessage="1" showErrorMessage="1" sqref="R41:R55" xr:uid="{DB019155-01F5-7948-95F3-B5E55531EF18}">
      <formula1>$R$33:$R$36</formula1>
    </dataValidation>
    <dataValidation type="list" allowBlank="1" showInputMessage="1" showErrorMessage="1" sqref="O8:O101" xr:uid="{F5E3A533-9CD6-D945-9681-F7F5D8400225}">
      <formula1>$T$13:$T$15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500E-6B56-0B46-BAA8-F055707029B2}">
  <sheetPr codeName="工作表8"/>
  <dimension ref="A1:AD101"/>
  <sheetViews>
    <sheetView topLeftCell="A5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114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2" t="s">
        <v>178</v>
      </c>
      <c r="B8">
        <v>2</v>
      </c>
      <c r="E8">
        <v>1</v>
      </c>
      <c r="G8" s="2"/>
      <c r="H8" s="2"/>
      <c r="I8" s="2"/>
      <c r="J8" s="2"/>
      <c r="K8" s="2">
        <f t="shared" ref="K8:K39" si="0">SUM(SUM(B8:F8)*360,SUM(G8:J8)*90)</f>
        <v>1080</v>
      </c>
      <c r="L8" s="2"/>
      <c r="M8" s="2"/>
      <c r="N8" s="2">
        <f>K8+L8-M8</f>
        <v>1080</v>
      </c>
      <c r="O8" s="2" t="s">
        <v>27</v>
      </c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SUMIF(表格1_334515253[收款類別],"&lt;&gt;公關品",表格1_334515253[運費])</f>
        <v>0</v>
      </c>
      <c r="V9" s="244"/>
      <c r="W9" s="2"/>
      <c r="X9" s="1" t="s">
        <v>109</v>
      </c>
      <c r="Y9" s="213">
        <f>INDEX('5'!Y12:Z13,1,1)</f>
        <v>10024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李泓陞：720</v>
      </c>
      <c r="AC9" t="str" cm="1">
        <f t="array" ref="AC9:AC10">_xlfn.LET(_xlpm.paid,_xlfn.UNIQUE(_xlfn._xlws.FILTER(A8:A100,P8:P100="銷帳","今日無銷帳")),IF(_xlpm.paid="今日無銷帳","今日無銷帳",_xlpm.paid&amp;"："&amp;SUMIFS(N8:N100,A8:A100,_xlpm.paid,P8:P100,"銷帳")))</f>
        <v>林祥睿：9480</v>
      </c>
    </row>
    <row r="10" spans="1:30">
      <c r="A10" s="72" t="s">
        <v>180</v>
      </c>
      <c r="B10">
        <v>3</v>
      </c>
      <c r="G10" s="2"/>
      <c r="H10" s="2"/>
      <c r="I10" s="2"/>
      <c r="J10" s="2"/>
      <c r="K10" s="2">
        <f t="shared" si="0"/>
        <v>1080</v>
      </c>
      <c r="L10" s="2"/>
      <c r="M10" s="2"/>
      <c r="N10" s="2">
        <f t="shared" si="1"/>
        <v>1080</v>
      </c>
      <c r="O10" s="2" t="s">
        <v>27</v>
      </c>
      <c r="P10" s="3"/>
      <c r="R10" s="241">
        <f>SUM(K8:K101)</f>
        <v>15840</v>
      </c>
      <c r="S10" s="241"/>
      <c r="T10" s="1" t="s">
        <v>13</v>
      </c>
      <c r="U10" s="245">
        <f>SUM(M8:M101)</f>
        <v>720</v>
      </c>
      <c r="V10" s="245"/>
      <c r="W10" s="2"/>
      <c r="X10" s="1" t="s">
        <v>110</v>
      </c>
      <c r="Y10" s="213">
        <f>U15</f>
        <v>720</v>
      </c>
      <c r="Z10" s="213"/>
      <c r="AC10" t="str">
        <v>李泓陞：9520</v>
      </c>
    </row>
    <row r="11" spans="1:30">
      <c r="A11" s="72" t="s">
        <v>181</v>
      </c>
      <c r="C11">
        <v>1</v>
      </c>
      <c r="E11">
        <v>1</v>
      </c>
      <c r="F11">
        <v>1</v>
      </c>
      <c r="G11" s="2"/>
      <c r="H11" s="2"/>
      <c r="I11" s="2"/>
      <c r="J11" s="2"/>
      <c r="K11" s="2">
        <f t="shared" si="0"/>
        <v>1080</v>
      </c>
      <c r="L11" s="2"/>
      <c r="M11" s="2"/>
      <c r="N11" s="2">
        <f t="shared" si="1"/>
        <v>1080</v>
      </c>
      <c r="O11" s="2" t="s">
        <v>27</v>
      </c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19000</v>
      </c>
      <c r="Z11" s="213"/>
    </row>
    <row r="12" spans="1:30" ht="15" customHeight="1">
      <c r="A12" s="72" t="s">
        <v>182</v>
      </c>
      <c r="B12">
        <v>11</v>
      </c>
      <c r="G12" s="2"/>
      <c r="H12" s="2"/>
      <c r="I12" s="2"/>
      <c r="J12" s="2"/>
      <c r="K12" s="2">
        <f t="shared" si="0"/>
        <v>3960</v>
      </c>
      <c r="L12" s="2"/>
      <c r="M12" s="2">
        <v>360</v>
      </c>
      <c r="N12" s="2">
        <f t="shared" si="1"/>
        <v>3600</v>
      </c>
      <c r="O12" s="2" t="s">
        <v>27</v>
      </c>
      <c r="P12" s="3" t="s">
        <v>196</v>
      </c>
      <c r="R12" s="243">
        <f>R10-U10-U11</f>
        <v>15120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-8256</v>
      </c>
      <c r="Z12" s="213"/>
    </row>
    <row r="13" spans="1:30" ht="15" customHeight="1">
      <c r="A13" s="72" t="s">
        <v>183</v>
      </c>
      <c r="B13">
        <v>3</v>
      </c>
      <c r="G13" s="2"/>
      <c r="H13" s="2"/>
      <c r="I13" s="2"/>
      <c r="J13" s="2"/>
      <c r="K13" s="2">
        <f t="shared" si="0"/>
        <v>1080</v>
      </c>
      <c r="L13" s="2"/>
      <c r="M13" s="2"/>
      <c r="N13" s="2">
        <f t="shared" si="1"/>
        <v>1080</v>
      </c>
      <c r="O13" s="2" t="s">
        <v>27</v>
      </c>
      <c r="P13" s="3"/>
      <c r="R13" s="243"/>
      <c r="S13" s="243"/>
      <c r="T13" s="1" t="s">
        <v>28</v>
      </c>
      <c r="U13" s="1">
        <f>SUMIF(O8:O101,"匯款",N8:N101)</f>
        <v>13320</v>
      </c>
      <c r="V13" s="1"/>
      <c r="W13" s="2"/>
      <c r="X13" s="214"/>
      <c r="Y13" s="213"/>
      <c r="Z13" s="213"/>
    </row>
    <row r="14" spans="1:30" ht="15" customHeight="1">
      <c r="A14" s="72" t="s">
        <v>184</v>
      </c>
      <c r="B14">
        <v>3</v>
      </c>
      <c r="G14" s="2"/>
      <c r="H14" s="2"/>
      <c r="I14" s="2"/>
      <c r="J14" s="2"/>
      <c r="K14" s="2">
        <f t="shared" si="0"/>
        <v>1080</v>
      </c>
      <c r="L14" s="2"/>
      <c r="M14" s="2"/>
      <c r="N14" s="2">
        <f t="shared" si="1"/>
        <v>1080</v>
      </c>
      <c r="O14" s="2" t="s">
        <v>27</v>
      </c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2" t="s">
        <v>185</v>
      </c>
      <c r="B15">
        <v>2</v>
      </c>
      <c r="C15">
        <v>2</v>
      </c>
      <c r="E15">
        <v>2</v>
      </c>
      <c r="G15" s="2"/>
      <c r="H15" s="2"/>
      <c r="I15" s="2"/>
      <c r="J15" s="2"/>
      <c r="K15" s="2">
        <f t="shared" si="0"/>
        <v>2160</v>
      </c>
      <c r="L15" s="2"/>
      <c r="M15" s="2"/>
      <c r="N15" s="2">
        <f t="shared" si="1"/>
        <v>2160</v>
      </c>
      <c r="O15" s="2" t="s">
        <v>27</v>
      </c>
      <c r="P15" s="3"/>
      <c r="R15" s="243"/>
      <c r="S15" s="243"/>
      <c r="T15" s="1" t="s">
        <v>26</v>
      </c>
      <c r="U15" s="1">
        <f>SUMIF(O8:O102,"未結帳款",N8:N103)</f>
        <v>720</v>
      </c>
      <c r="V15" s="1">
        <f>SUMIF(P8:P100,"銷帳",N8:N100)</f>
        <v>19000</v>
      </c>
      <c r="X15" s="2"/>
      <c r="Y15" s="2"/>
      <c r="Z15" s="3"/>
    </row>
    <row r="16" spans="1:30" ht="15" customHeight="1">
      <c r="A16" s="72" t="s">
        <v>186</v>
      </c>
      <c r="B16">
        <v>2</v>
      </c>
      <c r="G16" s="2"/>
      <c r="H16" s="2"/>
      <c r="I16" s="2"/>
      <c r="J16" s="2"/>
      <c r="K16" s="2">
        <f t="shared" si="0"/>
        <v>720</v>
      </c>
      <c r="L16" s="2"/>
      <c r="M16" s="2"/>
      <c r="N16" s="2">
        <f t="shared" si="1"/>
        <v>720</v>
      </c>
      <c r="O16" s="2" t="s">
        <v>27</v>
      </c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2" t="s">
        <v>197</v>
      </c>
      <c r="B17">
        <v>5</v>
      </c>
      <c r="G17" s="2"/>
      <c r="H17" s="2"/>
      <c r="I17" s="2"/>
      <c r="J17" s="2"/>
      <c r="K17" s="2">
        <f t="shared" si="0"/>
        <v>1800</v>
      </c>
      <c r="L17" s="2"/>
      <c r="M17" s="2">
        <v>360</v>
      </c>
      <c r="N17" s="2">
        <f t="shared" si="1"/>
        <v>1440</v>
      </c>
      <c r="O17" s="2" t="s">
        <v>27</v>
      </c>
      <c r="P17" s="3" t="s">
        <v>196</v>
      </c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2" t="s">
        <v>188</v>
      </c>
      <c r="B18">
        <v>2</v>
      </c>
      <c r="G18" s="2"/>
      <c r="H18" s="2"/>
      <c r="I18" s="2"/>
      <c r="J18" s="2"/>
      <c r="K18" s="2">
        <f t="shared" si="0"/>
        <v>720</v>
      </c>
      <c r="L18" s="2"/>
      <c r="M18" s="2"/>
      <c r="N18" s="2">
        <f t="shared" si="1"/>
        <v>720</v>
      </c>
      <c r="O18" s="2" t="s">
        <v>25</v>
      </c>
      <c r="P18" s="72" t="s">
        <v>180</v>
      </c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>
        <v>1315</v>
      </c>
      <c r="Z18" s="218"/>
    </row>
    <row r="19" spans="1:29">
      <c r="A19" t="s">
        <v>207</v>
      </c>
      <c r="C19">
        <v>2</v>
      </c>
      <c r="G19" s="2"/>
      <c r="H19" s="2"/>
      <c r="I19" s="2"/>
      <c r="J19" s="2"/>
      <c r="K19" s="2">
        <f>SUM(SUM(B19:F19)*360,SUM(G19:J19)*90)</f>
        <v>720</v>
      </c>
      <c r="L19" s="2"/>
      <c r="M19" s="2"/>
      <c r="N19" s="2">
        <f t="shared" si="1"/>
        <v>720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34</v>
      </c>
      <c r="U19" s="2">
        <f ca="1">SUMIF(P8:P102,"公關品",B8:B100)</f>
        <v>0</v>
      </c>
      <c r="V19" s="15">
        <f ca="1">SUM(T19:T23,U19)</f>
        <v>44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5" t="s">
        <v>208</v>
      </c>
      <c r="B20" s="2">
        <v>1</v>
      </c>
      <c r="C20" s="2"/>
      <c r="D20" s="2"/>
      <c r="E20" s="2"/>
      <c r="F20" s="2"/>
      <c r="G20" s="2"/>
      <c r="H20" s="2"/>
      <c r="I20" s="2"/>
      <c r="J20" s="2"/>
      <c r="K20" s="2">
        <f t="shared" si="0"/>
        <v>360</v>
      </c>
      <c r="L20" s="2"/>
      <c r="M20" s="2"/>
      <c r="N20" s="2">
        <f t="shared" si="1"/>
        <v>360</v>
      </c>
      <c r="O20" s="2"/>
      <c r="P20" s="3"/>
      <c r="R20" s="204"/>
      <c r="S20" s="2" t="s">
        <v>4</v>
      </c>
      <c r="T20" s="2">
        <f ca="1">SUMIF(P8:P102,"&lt;&gt;公關品",C8:C100)</f>
        <v>5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20</v>
      </c>
      <c r="Z20" s="224"/>
    </row>
    <row r="21" spans="1:29" ht="16" thickTop="1">
      <c r="A21" s="75" t="s">
        <v>118</v>
      </c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v>9480</v>
      </c>
      <c r="O21" s="2"/>
      <c r="P21" s="3" t="s">
        <v>115</v>
      </c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-1335</v>
      </c>
      <c r="Z21" s="248"/>
    </row>
    <row r="22" spans="1:29">
      <c r="A22" s="72" t="s">
        <v>188</v>
      </c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v>9520</v>
      </c>
      <c r="O22" s="2"/>
      <c r="P22" s="3" t="s">
        <v>115</v>
      </c>
      <c r="R22" s="204"/>
      <c r="S22" s="2" t="s">
        <v>6</v>
      </c>
      <c r="T22" s="2">
        <f ca="1">SUMIF(P8:P102,"&lt;&gt;公關品",E8:E100)</f>
        <v>4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1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54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34</v>
      </c>
      <c r="W25" s="2"/>
      <c r="X25" s="7" t="s">
        <v>104</v>
      </c>
      <c r="Y25" s="2">
        <v>4</v>
      </c>
      <c r="Z25" s="3">
        <f>Y25*5</f>
        <v>20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50</v>
      </c>
      <c r="W26" s="2"/>
      <c r="X26" s="7" t="s">
        <v>105</v>
      </c>
      <c r="Y26" s="2">
        <v>3</v>
      </c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38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'5'!Y33</f>
        <v>34</v>
      </c>
      <c r="T33" s="2">
        <v>30</v>
      </c>
      <c r="U33" s="2">
        <v>31</v>
      </c>
      <c r="V33" s="74">
        <f>SUMIF(R40:R55,"原味",S40:S55)</f>
        <v>4</v>
      </c>
      <c r="W33" s="114">
        <f ca="1">V24+U24+U19+U20*4</f>
        <v>54</v>
      </c>
      <c r="X33" s="114"/>
      <c r="Y33" s="13">
        <f ca="1">S33+U33-V33-W33</f>
        <v>7</v>
      </c>
      <c r="Z33" s="28">
        <f ca="1">IFERROR((V33/(U33+S33))," ")</f>
        <v>6.1538461538461542E-2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'5'!Y34</f>
        <v>39</v>
      </c>
      <c r="T34" s="2"/>
      <c r="U34" s="2"/>
      <c r="V34" s="2">
        <f>SUMIF(R41:R55,"可可",S41:S55)</f>
        <v>4</v>
      </c>
      <c r="W34" s="114">
        <f ca="1">V25+U25+U19+U21*4</f>
        <v>34</v>
      </c>
      <c r="X34" s="114"/>
      <c r="Y34" s="13">
        <f ca="1">S34+U34-V34-W34</f>
        <v>1</v>
      </c>
      <c r="Z34" s="28">
        <f ca="1">IFERROR((V34/(U34+S34))," ")</f>
        <v>0.10256410256410256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'5'!Y35</f>
        <v>42</v>
      </c>
      <c r="T35" s="2">
        <v>15</v>
      </c>
      <c r="U35" s="2">
        <v>15</v>
      </c>
      <c r="V35" s="2">
        <f>SUMIF(R41:R55,"伯爵",S41:S55)</f>
        <v>3</v>
      </c>
      <c r="W35" s="114">
        <f ca="1">V26+U26+U19+U22*4</f>
        <v>50</v>
      </c>
      <c r="X35" s="114"/>
      <c r="Y35" s="13">
        <f ca="1">S35+U35-V35-W35</f>
        <v>4</v>
      </c>
      <c r="Z35" s="28">
        <f ca="1">IFERROR((V35/(U35+S35))," ")</f>
        <v>5.2631578947368418E-2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'5'!Y36</f>
        <v>35</v>
      </c>
      <c r="T36" s="2">
        <v>15</v>
      </c>
      <c r="U36" s="2">
        <v>15</v>
      </c>
      <c r="V36" s="74">
        <f>SUMIF(R41:R55,"抹茶",S41:S55)</f>
        <v>2</v>
      </c>
      <c r="W36" s="114">
        <f ca="1">V27+U27+U19+U23*4</f>
        <v>38</v>
      </c>
      <c r="X36" s="114"/>
      <c r="Y36" s="13">
        <f ca="1">S36+U36-V36-W36</f>
        <v>10</v>
      </c>
      <c r="Z36" s="28">
        <f ca="1">IFERROR((V36/(U36+S36))," ")</f>
        <v>0.04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ref="K40:K71" si="2">SUM(SUM(B40:F40)*360,SUM(G40:J40)*90)</f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2"/>
        <v>0</v>
      </c>
      <c r="L41" s="2"/>
      <c r="M41" s="2"/>
      <c r="N41" s="2">
        <f t="shared" si="1"/>
        <v>0</v>
      </c>
      <c r="O41" s="2"/>
      <c r="P41" s="3"/>
      <c r="R41" s="7" t="s">
        <v>68</v>
      </c>
      <c r="S41" s="2">
        <v>4</v>
      </c>
      <c r="T41" s="15" t="s">
        <v>99</v>
      </c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2"/>
        <v>0</v>
      </c>
      <c r="L42" s="2"/>
      <c r="M42" s="2"/>
      <c r="N42" s="2">
        <f t="shared" si="1"/>
        <v>0</v>
      </c>
      <c r="O42" s="2"/>
      <c r="P42" s="3"/>
      <c r="R42" s="7" t="s">
        <v>71</v>
      </c>
      <c r="S42" s="2">
        <v>2</v>
      </c>
      <c r="T42" s="15" t="s">
        <v>99</v>
      </c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2"/>
        <v>0</v>
      </c>
      <c r="L43" s="2"/>
      <c r="M43" s="2"/>
      <c r="N43" s="2">
        <f t="shared" si="1"/>
        <v>0</v>
      </c>
      <c r="O43" s="2"/>
      <c r="P43" s="3"/>
      <c r="R43" s="7" t="s">
        <v>70</v>
      </c>
      <c r="S43">
        <v>1</v>
      </c>
      <c r="T43" s="15" t="s">
        <v>209</v>
      </c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2"/>
        <v>0</v>
      </c>
      <c r="L44" s="2"/>
      <c r="M44" s="2"/>
      <c r="N44" s="2">
        <f t="shared" si="1"/>
        <v>0</v>
      </c>
      <c r="O44" s="2"/>
      <c r="P44" s="3"/>
      <c r="R44" s="7" t="s">
        <v>69</v>
      </c>
      <c r="S44" s="2">
        <v>4</v>
      </c>
      <c r="T44" s="15" t="s">
        <v>100</v>
      </c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2"/>
        <v>0</v>
      </c>
      <c r="L45" s="2"/>
      <c r="M45" s="2"/>
      <c r="N45" s="2">
        <f t="shared" si="1"/>
        <v>0</v>
      </c>
      <c r="O45" s="2"/>
      <c r="P45" s="3"/>
      <c r="R45" s="7" t="s">
        <v>70</v>
      </c>
      <c r="S45" s="30">
        <v>2</v>
      </c>
      <c r="T45" s="15" t="s">
        <v>100</v>
      </c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2"/>
        <v>0</v>
      </c>
      <c r="L46" s="2"/>
      <c r="M46" s="2"/>
      <c r="N46" s="2">
        <f t="shared" si="1"/>
        <v>0</v>
      </c>
      <c r="O46" s="2"/>
      <c r="P46" s="3"/>
      <c r="R46" s="7"/>
      <c r="S46" s="30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2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2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2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2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2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2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2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2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2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2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2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2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2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2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2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2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2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2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2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2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2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2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2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2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2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3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3"/>
        <v>0</v>
      </c>
      <c r="L73" s="2"/>
      <c r="M73" s="2"/>
      <c r="N73" s="2">
        <f t="shared" ref="N73:N101" si="4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3"/>
        <v>0</v>
      </c>
      <c r="L74" s="2"/>
      <c r="M74" s="2"/>
      <c r="N74" s="2">
        <f t="shared" si="4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3"/>
        <v>0</v>
      </c>
      <c r="L75" s="2"/>
      <c r="M75" s="2"/>
      <c r="N75" s="2">
        <f t="shared" si="4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3"/>
        <v>0</v>
      </c>
      <c r="L76" s="2"/>
      <c r="M76" s="2"/>
      <c r="N76" s="2">
        <f t="shared" si="4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3"/>
        <v>0</v>
      </c>
      <c r="L77" s="2"/>
      <c r="M77" s="2"/>
      <c r="N77" s="2">
        <f t="shared" si="4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3"/>
        <v>0</v>
      </c>
      <c r="L78" s="2"/>
      <c r="M78" s="2"/>
      <c r="N78" s="2">
        <f t="shared" si="4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3"/>
        <v>0</v>
      </c>
      <c r="L79" s="2"/>
      <c r="M79" s="2"/>
      <c r="N79" s="2">
        <f t="shared" si="4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3"/>
        <v>0</v>
      </c>
      <c r="L80" s="2"/>
      <c r="M80" s="2"/>
      <c r="N80" s="2">
        <f t="shared" si="4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3"/>
        <v>0</v>
      </c>
      <c r="L81" s="2"/>
      <c r="M81" s="2"/>
      <c r="N81" s="2">
        <f t="shared" si="4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3"/>
        <v>0</v>
      </c>
      <c r="L82" s="2"/>
      <c r="M82" s="2"/>
      <c r="N82" s="2">
        <f t="shared" si="4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3"/>
        <v>0</v>
      </c>
      <c r="L83" s="2"/>
      <c r="M83" s="2"/>
      <c r="N83" s="2">
        <f t="shared" si="4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3"/>
        <v>0</v>
      </c>
      <c r="L84" s="2"/>
      <c r="M84" s="2"/>
      <c r="N84" s="2">
        <f t="shared" si="4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3"/>
        <v>0</v>
      </c>
      <c r="L85" s="2"/>
      <c r="M85" s="2"/>
      <c r="N85" s="2">
        <f t="shared" si="4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3"/>
        <v>0</v>
      </c>
      <c r="L86" s="2"/>
      <c r="M86" s="2"/>
      <c r="N86" s="2">
        <f t="shared" si="4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3"/>
        <v>0</v>
      </c>
      <c r="L87" s="2"/>
      <c r="M87" s="2"/>
      <c r="N87" s="2">
        <f t="shared" si="4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3"/>
        <v>0</v>
      </c>
      <c r="L88" s="2"/>
      <c r="M88" s="2"/>
      <c r="N88" s="2">
        <f t="shared" si="4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3"/>
        <v>0</v>
      </c>
      <c r="L89" s="2"/>
      <c r="M89" s="2"/>
      <c r="N89" s="2">
        <f t="shared" si="4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3"/>
        <v>0</v>
      </c>
      <c r="L90" s="2"/>
      <c r="M90" s="2"/>
      <c r="N90" s="2">
        <f t="shared" si="4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3"/>
        <v>0</v>
      </c>
      <c r="L91" s="2"/>
      <c r="M91" s="2"/>
      <c r="N91" s="2">
        <f t="shared" si="4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3"/>
        <v>0</v>
      </c>
      <c r="L92" s="2"/>
      <c r="M92" s="2"/>
      <c r="N92" s="2">
        <f t="shared" si="4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3"/>
        <v>0</v>
      </c>
      <c r="L93" s="2"/>
      <c r="M93" s="2"/>
      <c r="N93" s="2">
        <f t="shared" si="4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3"/>
        <v>0</v>
      </c>
      <c r="L94" s="2"/>
      <c r="M94" s="2"/>
      <c r="N94" s="2">
        <f t="shared" si="4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3"/>
        <v>0</v>
      </c>
      <c r="L95" s="2"/>
      <c r="M95" s="2"/>
      <c r="N95" s="2">
        <f t="shared" si="4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3"/>
        <v>0</v>
      </c>
      <c r="L96" s="2"/>
      <c r="M96" s="2"/>
      <c r="N96" s="2">
        <f t="shared" si="4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3"/>
        <v>0</v>
      </c>
      <c r="L97" s="2"/>
      <c r="M97" s="2"/>
      <c r="N97" s="2">
        <f t="shared" si="4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3"/>
        <v>0</v>
      </c>
      <c r="L98" s="2"/>
      <c r="M98" s="2"/>
      <c r="N98" s="2">
        <f t="shared" si="4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3"/>
        <v>0</v>
      </c>
      <c r="L99" s="2"/>
      <c r="M99" s="2"/>
      <c r="N99" s="2">
        <f t="shared" si="4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3"/>
        <v>0</v>
      </c>
      <c r="L100" s="9"/>
      <c r="M100" s="9"/>
      <c r="N100" s="9">
        <f t="shared" si="4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3"/>
        <v>0</v>
      </c>
      <c r="N101">
        <f t="shared" si="4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O8:O101" xr:uid="{577280C3-D97C-4043-80C2-E9E9C4E4616D}">
      <formula1>$T$13:$T$16</formula1>
    </dataValidation>
    <dataValidation type="list" allowBlank="1" showInputMessage="1" showErrorMessage="1" sqref="R41:R55" xr:uid="{5480E645-15F6-1640-BBA9-69A461D099D9}">
      <formula1>$R$33:$R$36</formula1>
    </dataValidation>
    <dataValidation type="list" allowBlank="1" showInputMessage="1" showErrorMessage="1" sqref="T41:T55" xr:uid="{BC16FF22-B7B0-B64D-A5A9-289A67665B98}">
      <formula1>"技術,人為,過期,吃掉"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11FEF-ECE9-AC46-BCBA-63A36670D972}">
  <sheetPr codeName="工作表9"/>
  <dimension ref="A1:AD101"/>
  <sheetViews>
    <sheetView zoomScale="89" zoomScaleNormal="100" workbookViewId="0">
      <selection activeCell="F7" sqref="A7:F18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2" t="s">
        <v>187</v>
      </c>
      <c r="B8">
        <v>5</v>
      </c>
      <c r="C8" s="2"/>
      <c r="D8" s="2"/>
      <c r="E8" s="2"/>
      <c r="F8" s="2"/>
      <c r="G8" s="2"/>
      <c r="H8" s="2"/>
      <c r="I8" s="2"/>
      <c r="J8" s="2"/>
      <c r="K8" s="2">
        <f t="shared" ref="K8:K14" si="0">SUM(SUM(B8:F8)*360,SUM(G8:J8)*90)</f>
        <v>1800</v>
      </c>
      <c r="L8" s="2"/>
      <c r="M8" s="2"/>
      <c r="N8" s="2">
        <f t="shared" ref="N8:N14" si="1">K8+L8-M8</f>
        <v>1800</v>
      </c>
      <c r="O8" s="2" t="s">
        <v>27</v>
      </c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2" t="s">
        <v>188</v>
      </c>
      <c r="B9">
        <v>2</v>
      </c>
      <c r="C9" s="2"/>
      <c r="D9" s="2"/>
      <c r="E9" s="2"/>
      <c r="F9" s="2"/>
      <c r="G9" s="2"/>
      <c r="H9" s="2"/>
      <c r="I9" s="2"/>
      <c r="J9" s="2"/>
      <c r="K9" s="2">
        <f t="shared" si="0"/>
        <v>720</v>
      </c>
      <c r="L9" s="2">
        <v>160</v>
      </c>
      <c r="M9" s="2"/>
      <c r="N9" s="2">
        <f t="shared" si="1"/>
        <v>880</v>
      </c>
      <c r="O9" s="2" t="s">
        <v>25</v>
      </c>
      <c r="P9" s="89" t="s">
        <v>239</v>
      </c>
      <c r="R9" s="214" t="s">
        <v>32</v>
      </c>
      <c r="S9" s="214"/>
      <c r="T9" s="1" t="s">
        <v>22</v>
      </c>
      <c r="U9" s="244">
        <f>SUMIF(表格1_33451525354[欄1],"&lt;&gt;公關品",表格1_33451525354[運費])</f>
        <v>1440</v>
      </c>
      <c r="V9" s="244"/>
      <c r="W9" s="2"/>
      <c r="X9" s="1" t="s">
        <v>109</v>
      </c>
      <c r="Y9" s="213">
        <f>INDEX('6'!Y12:Z13,1,1)</f>
        <v>-8256</v>
      </c>
      <c r="Z9" s="213"/>
      <c r="AB9" t="str" cm="1">
        <f t="array" ref="AB9:AB11">_xlfn.LET(_xlpm.unpaid,_xlfn.UNIQUE(_xlfn._xlws.FILTER(A8:A100,O8:O100="未結帳款","今日無欠款")),IF(_xlpm.unpaid="今日無欠款","今日無欠款",_xlpm.unpaid&amp;"："&amp;SUMIFS(N8:N100,A8:A100,_xlpm.unpaid,O8:O100,"未結帳款")))</f>
        <v>李泓陞：6160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74"/>
      <c r="M10" s="2"/>
      <c r="N10" s="2">
        <f t="shared" si="1"/>
        <v>0</v>
      </c>
      <c r="O10" s="2"/>
      <c r="P10" s="3"/>
      <c r="R10" s="241">
        <f>SUM(K8:K101)-V15</f>
        <v>11238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7560</v>
      </c>
      <c r="Z10" s="213"/>
      <c r="AB10" t="str">
        <v>吳宜亭：880</v>
      </c>
    </row>
    <row r="11" spans="1:30">
      <c r="A11" s="72" t="s">
        <v>188</v>
      </c>
      <c r="B11">
        <v>2</v>
      </c>
      <c r="C11" s="2"/>
      <c r="D11" s="2"/>
      <c r="E11" s="2"/>
      <c r="F11" s="2"/>
      <c r="G11" s="2"/>
      <c r="H11" s="2"/>
      <c r="I11" s="2"/>
      <c r="J11" s="2"/>
      <c r="K11" s="2">
        <f t="shared" si="0"/>
        <v>720</v>
      </c>
      <c r="L11" s="74">
        <v>160</v>
      </c>
      <c r="M11" s="2"/>
      <c r="N11" s="2">
        <f t="shared" si="1"/>
        <v>880</v>
      </c>
      <c r="O11" s="2" t="s">
        <v>25</v>
      </c>
      <c r="P11" s="89" t="s">
        <v>240</v>
      </c>
      <c r="R11" s="241" t="s">
        <v>24</v>
      </c>
      <c r="S11" s="242"/>
      <c r="T11" s="17" t="s">
        <v>55</v>
      </c>
      <c r="U11" s="213">
        <f>SUMIF(P8:P100,"公關品",K8:K103)</f>
        <v>720</v>
      </c>
      <c r="V11" s="213"/>
      <c r="W11" s="2"/>
      <c r="X11" s="1" t="s">
        <v>111</v>
      </c>
      <c r="Y11" s="213">
        <f>V15</f>
        <v>0</v>
      </c>
      <c r="Z11" s="213"/>
      <c r="AB11" t="str">
        <v>林祥睿：520</v>
      </c>
    </row>
    <row r="12" spans="1:30" ht="15" customHeight="1">
      <c r="A12" s="72" t="s">
        <v>188</v>
      </c>
      <c r="B12">
        <v>2</v>
      </c>
      <c r="C12" s="2"/>
      <c r="D12" s="2"/>
      <c r="E12" s="2"/>
      <c r="F12" s="2"/>
      <c r="G12" s="2"/>
      <c r="H12" s="2"/>
      <c r="I12" s="2"/>
      <c r="J12" s="2"/>
      <c r="K12" s="2">
        <f t="shared" si="0"/>
        <v>720</v>
      </c>
      <c r="L12" s="74">
        <v>160</v>
      </c>
      <c r="M12" s="2"/>
      <c r="N12" s="2">
        <f t="shared" si="1"/>
        <v>880</v>
      </c>
      <c r="O12" s="2" t="s">
        <v>25</v>
      </c>
      <c r="P12" s="89" t="s">
        <v>241</v>
      </c>
      <c r="R12" s="243">
        <f>R10-U10-U11</f>
        <v>10518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-696</v>
      </c>
      <c r="Z12" s="213"/>
    </row>
    <row r="13" spans="1:30" ht="15" customHeight="1">
      <c r="A13" s="72" t="s">
        <v>188</v>
      </c>
      <c r="B13">
        <v>2</v>
      </c>
      <c r="C13" s="2"/>
      <c r="D13" s="2"/>
      <c r="E13" s="2"/>
      <c r="F13" s="2"/>
      <c r="G13" s="2"/>
      <c r="H13" s="2"/>
      <c r="I13" s="2"/>
      <c r="J13" s="2"/>
      <c r="K13" s="2">
        <f t="shared" si="0"/>
        <v>720</v>
      </c>
      <c r="L13" s="74">
        <v>160</v>
      </c>
      <c r="M13" s="2"/>
      <c r="N13" s="2">
        <f t="shared" si="1"/>
        <v>880</v>
      </c>
      <c r="O13" s="2" t="s">
        <v>25</v>
      </c>
      <c r="P13" s="89" t="s">
        <v>242</v>
      </c>
      <c r="R13" s="243"/>
      <c r="S13" s="243"/>
      <c r="T13" s="1" t="s">
        <v>28</v>
      </c>
      <c r="U13" s="1">
        <f>SUMIF(O8:O101,"匯款",N8:N101)</f>
        <v>3600</v>
      </c>
      <c r="V13" s="1"/>
      <c r="W13" s="2"/>
      <c r="X13" s="214"/>
      <c r="Y13" s="213"/>
      <c r="Z13" s="213"/>
    </row>
    <row r="14" spans="1:30" ht="15" customHeight="1">
      <c r="A14" s="72" t="s">
        <v>188</v>
      </c>
      <c r="B14">
        <v>2</v>
      </c>
      <c r="C14" s="2"/>
      <c r="D14" s="2"/>
      <c r="E14" s="2"/>
      <c r="F14" s="2"/>
      <c r="G14" s="2"/>
      <c r="H14" s="2"/>
      <c r="I14" s="2"/>
      <c r="J14" s="2"/>
      <c r="K14" s="2">
        <f t="shared" si="0"/>
        <v>720</v>
      </c>
      <c r="L14" s="74">
        <v>160</v>
      </c>
      <c r="M14" s="2"/>
      <c r="N14" s="2">
        <f t="shared" si="1"/>
        <v>880</v>
      </c>
      <c r="O14" s="2" t="s">
        <v>25</v>
      </c>
      <c r="P14" s="89" t="s">
        <v>243</v>
      </c>
      <c r="R14" s="243"/>
      <c r="S14" s="243"/>
      <c r="T14" s="1" t="s">
        <v>30</v>
      </c>
      <c r="U14" s="1">
        <f>SUMIF(O8:O102,"現金",N8:N102)</f>
        <v>798</v>
      </c>
      <c r="V14" s="1"/>
      <c r="W14" s="2"/>
      <c r="X14" s="2"/>
      <c r="Y14" s="2"/>
      <c r="Z14" s="3"/>
    </row>
    <row r="15" spans="1:30" ht="15" customHeight="1">
      <c r="A15" s="72"/>
      <c r="C15" s="2"/>
      <c r="D15" s="2"/>
      <c r="E15" s="2"/>
      <c r="F15" s="2"/>
      <c r="G15" s="2"/>
      <c r="H15" s="2"/>
      <c r="I15" s="2"/>
      <c r="J15" s="2"/>
      <c r="K15" s="2"/>
      <c r="L15" s="74"/>
      <c r="M15" s="2"/>
      <c r="N15" s="2"/>
      <c r="O15" s="2"/>
      <c r="P15" s="3"/>
      <c r="R15" s="243"/>
      <c r="S15" s="243"/>
      <c r="T15" s="1" t="s">
        <v>26</v>
      </c>
      <c r="U15" s="1">
        <f>SUMIF(O8:O102,"未結帳款",N8:N103)</f>
        <v>7560</v>
      </c>
      <c r="V15" s="1">
        <f>SUMIF(P8:P100,"銷帳",N8:N100)</f>
        <v>0</v>
      </c>
      <c r="X15" s="2"/>
      <c r="Y15" s="2"/>
      <c r="Z15" s="3"/>
    </row>
    <row r="16" spans="1:30" ht="15" customHeight="1">
      <c r="A16" s="72" t="s">
        <v>188</v>
      </c>
      <c r="B16">
        <v>2</v>
      </c>
      <c r="C16" s="2"/>
      <c r="D16" s="2"/>
      <c r="E16" s="2"/>
      <c r="F16" s="2"/>
      <c r="G16" s="2"/>
      <c r="H16" s="2"/>
      <c r="I16" s="2"/>
      <c r="J16" s="2"/>
      <c r="K16" s="2">
        <f>SUM(SUM(B16:F16)*360,SUM(G16:J16)*90)</f>
        <v>720</v>
      </c>
      <c r="L16" s="74">
        <v>160</v>
      </c>
      <c r="M16" s="2"/>
      <c r="N16" s="2">
        <f>K16+L16-M16</f>
        <v>880</v>
      </c>
      <c r="O16" s="2" t="s">
        <v>25</v>
      </c>
      <c r="P16" s="89" t="s">
        <v>244</v>
      </c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2" t="s">
        <v>188</v>
      </c>
      <c r="B17">
        <v>2</v>
      </c>
      <c r="C17" s="2"/>
      <c r="D17" s="2"/>
      <c r="E17" s="2"/>
      <c r="F17" s="2"/>
      <c r="G17" s="2"/>
      <c r="H17" s="2"/>
      <c r="I17" s="2"/>
      <c r="J17" s="2"/>
      <c r="K17" s="2">
        <f>SUM(SUM(B17:F17)*360,SUM(G17:J17)*90)</f>
        <v>720</v>
      </c>
      <c r="L17" s="74">
        <v>160</v>
      </c>
      <c r="M17" s="2"/>
      <c r="N17" s="2">
        <f>K17+L17-M17</f>
        <v>880</v>
      </c>
      <c r="O17" s="2" t="s">
        <v>25</v>
      </c>
      <c r="P17" s="89" t="s">
        <v>245</v>
      </c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1440</v>
      </c>
      <c r="Z17" s="218"/>
    </row>
    <row r="18" spans="1:29">
      <c r="A18" t="s">
        <v>247</v>
      </c>
      <c r="B18">
        <v>2</v>
      </c>
      <c r="K18" s="76">
        <f>SUM(SUM(B18:F18)*360,SUM(G18:J18)*90)</f>
        <v>720</v>
      </c>
      <c r="L18">
        <v>160</v>
      </c>
      <c r="N18" s="76">
        <f>K18+L18-M18</f>
        <v>880</v>
      </c>
      <c r="O18" s="76" t="s">
        <v>25</v>
      </c>
      <c r="P18" s="89" t="s">
        <v>246</v>
      </c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>
        <v>609</v>
      </c>
      <c r="Z18" s="218"/>
    </row>
    <row r="19" spans="1:29">
      <c r="A19" s="72" t="s">
        <v>179</v>
      </c>
      <c r="B19" s="2"/>
      <c r="C19" s="2">
        <v>3</v>
      </c>
      <c r="D19" s="2">
        <v>2</v>
      </c>
      <c r="E19" s="2"/>
      <c r="F19" s="2"/>
      <c r="G19" s="2"/>
      <c r="H19" s="2"/>
      <c r="I19" s="2"/>
      <c r="J19" s="2"/>
      <c r="K19" s="2">
        <f>SUM(SUM(B19:F19)*360,SUM(G19:J19)*90)</f>
        <v>1800</v>
      </c>
      <c r="L19" s="2"/>
      <c r="M19" s="2"/>
      <c r="N19" s="2">
        <f>K19+L19-M19</f>
        <v>1800</v>
      </c>
      <c r="O19" s="2" t="s">
        <v>27</v>
      </c>
      <c r="P19" s="3"/>
      <c r="R19" s="204" t="s">
        <v>17</v>
      </c>
      <c r="S19" s="2" t="s">
        <v>3</v>
      </c>
      <c r="T19" s="2">
        <f ca="1">SUMIF(P8:P102,"&lt;&gt;公關品",B8:B100)</f>
        <v>22</v>
      </c>
      <c r="U19" s="2">
        <f ca="1">SUMIF(P8:P102,"公關品",B8:B100)</f>
        <v>2</v>
      </c>
      <c r="V19" s="15">
        <f ca="1">SUM(T19:T23,U19)</f>
        <v>29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 t="s">
        <v>198</v>
      </c>
      <c r="B20" s="2"/>
      <c r="C20" s="2"/>
      <c r="D20" s="2"/>
      <c r="E20" s="2"/>
      <c r="F20" s="2"/>
      <c r="G20" s="2"/>
      <c r="H20" s="2"/>
      <c r="I20" s="2"/>
      <c r="J20" s="2"/>
      <c r="K20" s="2">
        <v>798</v>
      </c>
      <c r="L20" s="2"/>
      <c r="M20" s="2"/>
      <c r="N20" s="2">
        <v>798</v>
      </c>
      <c r="O20" s="2" t="s">
        <v>29</v>
      </c>
      <c r="P20" s="3" t="s">
        <v>211</v>
      </c>
      <c r="R20" s="204"/>
      <c r="S20" s="2" t="s">
        <v>4</v>
      </c>
      <c r="T20" s="2">
        <f ca="1">SUMIF(P8:P102,"&lt;&gt;公關品",C8:C100)</f>
        <v>3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10</v>
      </c>
      <c r="Z20" s="224"/>
    </row>
    <row r="21" spans="1:29" ht="16" thickTop="1">
      <c r="A21" s="7" t="s">
        <v>199</v>
      </c>
      <c r="B21" s="2">
        <v>1</v>
      </c>
      <c r="C21" s="2"/>
      <c r="D21" s="2"/>
      <c r="E21" s="2"/>
      <c r="F21" s="2"/>
      <c r="G21" s="2"/>
      <c r="H21" s="2"/>
      <c r="I21" s="2"/>
      <c r="J21" s="2"/>
      <c r="K21" s="2">
        <f t="shared" ref="K21:K39" si="2">SUM(SUM(B21:F21)*360,SUM(G21:J21)*90)</f>
        <v>360</v>
      </c>
      <c r="L21" s="2"/>
      <c r="M21" s="2"/>
      <c r="N21" s="2">
        <f t="shared" ref="N21:N52" si="3">K21+L21-M21</f>
        <v>360</v>
      </c>
      <c r="O21" s="2"/>
      <c r="P21" s="3" t="s">
        <v>55</v>
      </c>
      <c r="R21" s="204"/>
      <c r="S21" s="2" t="s">
        <v>5</v>
      </c>
      <c r="T21" s="2">
        <f ca="1">SUMIF(P8:P104,"&lt;&gt;公關品",D8:D102)</f>
        <v>2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821</v>
      </c>
      <c r="Z21" s="248"/>
    </row>
    <row r="22" spans="1:29">
      <c r="A22" s="7" t="s">
        <v>118</v>
      </c>
      <c r="B22" s="2">
        <v>1</v>
      </c>
      <c r="C22" s="2"/>
      <c r="D22" s="2"/>
      <c r="E22" s="2"/>
      <c r="F22" s="2"/>
      <c r="G22" s="2"/>
      <c r="H22" s="2"/>
      <c r="I22" s="2"/>
      <c r="J22" s="2"/>
      <c r="K22" s="2">
        <f t="shared" si="2"/>
        <v>360</v>
      </c>
      <c r="L22" s="2">
        <v>160</v>
      </c>
      <c r="M22" s="2"/>
      <c r="N22" s="2">
        <f t="shared" si="3"/>
        <v>520</v>
      </c>
      <c r="O22" s="2" t="s">
        <v>25</v>
      </c>
      <c r="P22" s="3" t="s">
        <v>202</v>
      </c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 t="s">
        <v>248</v>
      </c>
      <c r="B23" s="2">
        <v>1</v>
      </c>
      <c r="C23" s="2"/>
      <c r="D23" s="2"/>
      <c r="E23" s="2"/>
      <c r="F23" s="2"/>
      <c r="G23" s="2"/>
      <c r="H23" s="2"/>
      <c r="I23" s="2"/>
      <c r="J23" s="2"/>
      <c r="K23" s="2">
        <f t="shared" si="2"/>
        <v>360</v>
      </c>
      <c r="L23" s="2"/>
      <c r="M23" s="2"/>
      <c r="N23" s="2">
        <f t="shared" si="3"/>
        <v>360</v>
      </c>
      <c r="O23" s="2"/>
      <c r="P23" s="3" t="s">
        <v>55</v>
      </c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2"/>
        <v>0</v>
      </c>
      <c r="L24" s="2"/>
      <c r="M24" s="2"/>
      <c r="N24" s="2">
        <f t="shared" si="3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34</v>
      </c>
      <c r="W24" s="2"/>
      <c r="X24" s="7" t="s">
        <v>103</v>
      </c>
      <c r="Y24" s="2">
        <v>10</v>
      </c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2"/>
        <v>0</v>
      </c>
      <c r="L25" s="2"/>
      <c r="M25" s="2"/>
      <c r="N25" s="2">
        <f t="shared" si="3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30</v>
      </c>
      <c r="W25" s="2"/>
      <c r="X25" s="7" t="s">
        <v>104</v>
      </c>
      <c r="Y25" s="2">
        <v>2</v>
      </c>
      <c r="Z25" s="3">
        <f>Y25*5</f>
        <v>10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2"/>
        <v>0</v>
      </c>
      <c r="L26" s="2"/>
      <c r="M26" s="2"/>
      <c r="N26" s="2">
        <f t="shared" si="3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22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2"/>
        <v>0</v>
      </c>
      <c r="L27" s="2"/>
      <c r="M27" s="2"/>
      <c r="N27" s="2">
        <f t="shared" si="3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22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2"/>
        <v>0</v>
      </c>
      <c r="L28" s="2"/>
      <c r="M28" s="2"/>
      <c r="N28" s="2">
        <f t="shared" si="3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2"/>
        <v>0</v>
      </c>
      <c r="L29" s="2"/>
      <c r="M29" s="2"/>
      <c r="N29" s="2">
        <f t="shared" si="3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2"/>
        <v>0</v>
      </c>
      <c r="L30" s="2"/>
      <c r="M30" s="2"/>
      <c r="N30" s="2">
        <f t="shared" si="3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2"/>
        <v>0</v>
      </c>
      <c r="L31" s="2"/>
      <c r="M31" s="2"/>
      <c r="N31" s="2">
        <f t="shared" si="3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2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2"/>
        <v>0</v>
      </c>
      <c r="L32" s="2"/>
      <c r="M32" s="2"/>
      <c r="N32" s="2">
        <f t="shared" si="3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8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2"/>
        <v>0</v>
      </c>
      <c r="L33" s="2"/>
      <c r="M33" s="2"/>
      <c r="N33" s="2">
        <f t="shared" si="3"/>
        <v>0</v>
      </c>
      <c r="O33" s="2"/>
      <c r="P33" s="3"/>
      <c r="R33" s="7" t="s">
        <v>4</v>
      </c>
      <c r="S33" s="2">
        <f ca="1">'6'!Y33</f>
        <v>7</v>
      </c>
      <c r="T33" s="2">
        <v>45</v>
      </c>
      <c r="U33" s="2">
        <v>40</v>
      </c>
      <c r="V33" s="2">
        <f>SUMIF(R40:R55,"原味",S40:S55)</f>
        <v>7</v>
      </c>
      <c r="W33" s="114">
        <f ca="1">V24+U24+U19+U20*4</f>
        <v>36</v>
      </c>
      <c r="X33" s="114"/>
      <c r="Y33" s="13">
        <f ca="1">S33+U33-V33-W33</f>
        <v>4</v>
      </c>
      <c r="Z33" s="28">
        <f ca="1">IFERROR((V33/(U33+S33))," ")</f>
        <v>0.14893617021276595</v>
      </c>
      <c r="AB33" s="59" t="s">
        <v>4</v>
      </c>
      <c r="AC33" s="60">
        <f ca="1">U24+U19+U20*4</f>
        <v>2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2"/>
        <v>0</v>
      </c>
      <c r="L34" s="2"/>
      <c r="M34" s="2"/>
      <c r="N34" s="2">
        <f t="shared" si="3"/>
        <v>0</v>
      </c>
      <c r="O34" s="2"/>
      <c r="P34" s="3"/>
      <c r="R34" s="7" t="s">
        <v>5</v>
      </c>
      <c r="S34" s="2">
        <f ca="1">'6'!Y34</f>
        <v>1</v>
      </c>
      <c r="T34" s="2">
        <v>45</v>
      </c>
      <c r="U34" s="2">
        <v>37</v>
      </c>
      <c r="V34" s="2">
        <f>SUMIF(R41:R55,"可可",S41:S55)</f>
        <v>1</v>
      </c>
      <c r="W34" s="114">
        <f ca="1">V25+U25+U19+U21*4</f>
        <v>32</v>
      </c>
      <c r="X34" s="114"/>
      <c r="Y34" s="13">
        <f ca="1">S34+U34-V34-W34</f>
        <v>5</v>
      </c>
      <c r="Z34" s="28">
        <f ca="1">IFERROR((V34/(U34+S34))," ")</f>
        <v>2.6315789473684209E-2</v>
      </c>
      <c r="AB34" s="59" t="s">
        <v>5</v>
      </c>
      <c r="AC34" s="60">
        <f ca="1">U25+U19+U21*4</f>
        <v>2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2"/>
        <v>0</v>
      </c>
      <c r="L35" s="2"/>
      <c r="M35" s="2"/>
      <c r="N35" s="2">
        <f t="shared" si="3"/>
        <v>0</v>
      </c>
      <c r="O35" s="2"/>
      <c r="P35" s="3"/>
      <c r="R35" s="7" t="s">
        <v>6</v>
      </c>
      <c r="S35" s="2">
        <f ca="1">'6'!Y35</f>
        <v>4</v>
      </c>
      <c r="T35" s="2">
        <v>30</v>
      </c>
      <c r="U35" s="2">
        <v>31</v>
      </c>
      <c r="V35" s="2">
        <f>SUMIF(R41:R55,"伯爵",S41:S55)</f>
        <v>1</v>
      </c>
      <c r="W35" s="114">
        <f ca="1">V26+U26+U19+U22*4</f>
        <v>24</v>
      </c>
      <c r="X35" s="114"/>
      <c r="Y35" s="13">
        <f ca="1">S35+U35-V35-W35</f>
        <v>10</v>
      </c>
      <c r="Z35" s="28">
        <f ca="1">IFERROR((V35/(U35+S35))," ")</f>
        <v>2.8571428571428571E-2</v>
      </c>
      <c r="AB35" s="59" t="s">
        <v>6</v>
      </c>
      <c r="AC35" s="60">
        <f ca="1">U26+U19+U22*4</f>
        <v>2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2"/>
        <v>0</v>
      </c>
      <c r="L36" s="2"/>
      <c r="M36" s="2"/>
      <c r="N36" s="2">
        <f t="shared" si="3"/>
        <v>0</v>
      </c>
      <c r="O36" s="2"/>
      <c r="P36" s="3"/>
      <c r="R36" s="7" t="s">
        <v>7</v>
      </c>
      <c r="S36" s="2">
        <f ca="1">'6'!Y36</f>
        <v>10</v>
      </c>
      <c r="T36" s="30">
        <v>45</v>
      </c>
      <c r="U36" s="30">
        <v>20</v>
      </c>
      <c r="V36" s="2">
        <f>SUMIF(R41:R55,"抹茶",S41:S55)</f>
        <v>2</v>
      </c>
      <c r="W36" s="114">
        <f ca="1">V27+U27+U19+U23*4</f>
        <v>24</v>
      </c>
      <c r="X36" s="114"/>
      <c r="Y36" s="13">
        <f ca="1">S36+U36-V36-W36</f>
        <v>4</v>
      </c>
      <c r="Z36" s="28">
        <f ca="1">IFERROR((V36/(U36+S36))," ")</f>
        <v>6.6666666666666666E-2</v>
      </c>
      <c r="AB36" s="61" t="s">
        <v>7</v>
      </c>
      <c r="AC36" s="62">
        <f ca="1">U27+U19+U23*4</f>
        <v>2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2"/>
        <v>0</v>
      </c>
      <c r="L37" s="2"/>
      <c r="M37" s="2"/>
      <c r="N37" s="2">
        <f t="shared" si="3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2"/>
        <v>0</v>
      </c>
      <c r="L38" s="2"/>
      <c r="M38" s="2"/>
      <c r="N38" s="2">
        <f t="shared" si="3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2"/>
        <v>0</v>
      </c>
      <c r="L39" s="2"/>
      <c r="M39" s="2"/>
      <c r="N39" s="2">
        <f t="shared" si="3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ref="K40:K71" si="4">SUM(SUM(B40:F40)*360,SUM(G40:J40)*90)</f>
        <v>0</v>
      </c>
      <c r="L40" s="2"/>
      <c r="M40" s="2"/>
      <c r="N40" s="2">
        <f t="shared" si="3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4"/>
        <v>0</v>
      </c>
      <c r="L41" s="2"/>
      <c r="M41" s="2"/>
      <c r="N41" s="2">
        <f t="shared" si="3"/>
        <v>0</v>
      </c>
      <c r="O41" s="2"/>
      <c r="P41" s="3"/>
      <c r="R41" s="7" t="s">
        <v>68</v>
      </c>
      <c r="S41" s="2">
        <v>4</v>
      </c>
      <c r="T41" s="15" t="s">
        <v>99</v>
      </c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4"/>
        <v>0</v>
      </c>
      <c r="L42" s="2"/>
      <c r="M42" s="2"/>
      <c r="N42" s="2">
        <f t="shared" si="3"/>
        <v>0</v>
      </c>
      <c r="O42" s="2"/>
      <c r="P42" s="3"/>
      <c r="R42" s="7" t="s">
        <v>69</v>
      </c>
      <c r="S42" s="2">
        <v>1</v>
      </c>
      <c r="T42" s="15" t="s">
        <v>102</v>
      </c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4"/>
        <v>0</v>
      </c>
      <c r="L43" s="2"/>
      <c r="M43" s="2"/>
      <c r="N43" s="2">
        <f t="shared" si="3"/>
        <v>0</v>
      </c>
      <c r="O43" s="2"/>
      <c r="P43" s="3"/>
      <c r="R43" s="7" t="s">
        <v>71</v>
      </c>
      <c r="S43">
        <v>2</v>
      </c>
      <c r="T43" s="15" t="s">
        <v>99</v>
      </c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4"/>
        <v>0</v>
      </c>
      <c r="L44" s="2"/>
      <c r="M44" s="2"/>
      <c r="N44" s="2">
        <f t="shared" si="3"/>
        <v>0</v>
      </c>
      <c r="O44" s="2"/>
      <c r="P44" s="3"/>
      <c r="R44" s="7" t="s">
        <v>68</v>
      </c>
      <c r="S44" s="2">
        <v>3</v>
      </c>
      <c r="T44" s="15" t="s">
        <v>102</v>
      </c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4"/>
        <v>0</v>
      </c>
      <c r="L45" s="2"/>
      <c r="M45" s="2"/>
      <c r="N45" s="2">
        <f t="shared" si="3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4"/>
        <v>0</v>
      </c>
      <c r="L46" s="2"/>
      <c r="M46" s="2"/>
      <c r="N46" s="2">
        <f t="shared" si="3"/>
        <v>0</v>
      </c>
      <c r="O46" s="2"/>
      <c r="P46" s="3"/>
      <c r="R46" s="7" t="s">
        <v>70</v>
      </c>
      <c r="S46" s="30">
        <v>1</v>
      </c>
      <c r="T46" s="15" t="s">
        <v>209</v>
      </c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4"/>
        <v>0</v>
      </c>
      <c r="L47" s="2"/>
      <c r="M47" s="2"/>
      <c r="N47" s="2">
        <f t="shared" si="3"/>
        <v>0</v>
      </c>
      <c r="O47" s="2"/>
      <c r="P47" s="3"/>
      <c r="R47" s="7"/>
      <c r="S47" s="30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4"/>
        <v>0</v>
      </c>
      <c r="L48" s="2"/>
      <c r="M48" s="2"/>
      <c r="N48" s="2">
        <f t="shared" si="3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4"/>
        <v>0</v>
      </c>
      <c r="L49" s="2"/>
      <c r="M49" s="2"/>
      <c r="N49" s="2">
        <f t="shared" si="3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4"/>
        <v>0</v>
      </c>
      <c r="L50" s="2"/>
      <c r="M50" s="2"/>
      <c r="N50" s="2">
        <f t="shared" si="3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4"/>
        <v>0</v>
      </c>
      <c r="L51" s="2"/>
      <c r="M51" s="2"/>
      <c r="N51" s="2">
        <f t="shared" si="3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4"/>
        <v>0</v>
      </c>
      <c r="L52" s="2"/>
      <c r="M52" s="2"/>
      <c r="N52" s="2">
        <f t="shared" si="3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4"/>
        <v>0</v>
      </c>
      <c r="L53" s="2"/>
      <c r="M53" s="2"/>
      <c r="N53" s="2">
        <f t="shared" ref="N53:N72" si="5">K53+L53-M53</f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4"/>
        <v>0</v>
      </c>
      <c r="L54" s="2"/>
      <c r="M54" s="2"/>
      <c r="N54" s="2">
        <f t="shared" si="5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4"/>
        <v>0</v>
      </c>
      <c r="L55" s="2"/>
      <c r="M55" s="2"/>
      <c r="N55" s="2">
        <f t="shared" si="5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4"/>
        <v>0</v>
      </c>
      <c r="L56" s="2"/>
      <c r="M56" s="2"/>
      <c r="N56" s="2">
        <f t="shared" si="5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4"/>
        <v>0</v>
      </c>
      <c r="L57" s="2"/>
      <c r="M57" s="2"/>
      <c r="N57" s="2">
        <f t="shared" si="5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4"/>
        <v>0</v>
      </c>
      <c r="L58" s="2"/>
      <c r="M58" s="2"/>
      <c r="N58" s="2">
        <f t="shared" si="5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4"/>
        <v>0</v>
      </c>
      <c r="L59" s="2"/>
      <c r="M59" s="2"/>
      <c r="N59" s="2">
        <f t="shared" si="5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4"/>
        <v>0</v>
      </c>
      <c r="L60" s="2"/>
      <c r="M60" s="2"/>
      <c r="N60" s="2">
        <f t="shared" si="5"/>
        <v>0</v>
      </c>
      <c r="O60" s="2"/>
      <c r="P60" s="3"/>
      <c r="R60" s="257" t="s">
        <v>249</v>
      </c>
      <c r="S60" s="258"/>
      <c r="T60" s="258"/>
      <c r="U60" s="258"/>
      <c r="V60" s="258"/>
      <c r="W60" s="258"/>
      <c r="X60" s="258"/>
      <c r="Y60" s="258"/>
      <c r="Z60" s="259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4"/>
        <v>0</v>
      </c>
      <c r="L61" s="2"/>
      <c r="M61" s="2"/>
      <c r="N61" s="2">
        <f t="shared" si="5"/>
        <v>0</v>
      </c>
      <c r="O61" s="2"/>
      <c r="P61" s="3"/>
      <c r="R61" s="257" t="s">
        <v>250</v>
      </c>
      <c r="S61" s="258"/>
      <c r="T61" s="258"/>
      <c r="U61" s="258"/>
      <c r="V61" s="258"/>
      <c r="W61" s="258"/>
      <c r="X61" s="258"/>
      <c r="Y61" s="258"/>
      <c r="Z61" s="259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4"/>
        <v>0</v>
      </c>
      <c r="L62" s="2"/>
      <c r="M62" s="2"/>
      <c r="N62" s="2">
        <f t="shared" si="5"/>
        <v>0</v>
      </c>
      <c r="O62" s="2"/>
      <c r="P62" s="3"/>
      <c r="R62" s="257"/>
      <c r="S62" s="258"/>
      <c r="T62" s="258"/>
      <c r="U62" s="258"/>
      <c r="V62" s="258"/>
      <c r="W62" s="258"/>
      <c r="X62" s="258"/>
      <c r="Y62" s="258"/>
      <c r="Z62" s="259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4"/>
        <v>0</v>
      </c>
      <c r="L63" s="2"/>
      <c r="M63" s="2"/>
      <c r="N63" s="2">
        <f t="shared" si="5"/>
        <v>0</v>
      </c>
      <c r="O63" s="2"/>
      <c r="P63" s="3"/>
      <c r="R63" s="257"/>
      <c r="S63" s="258"/>
      <c r="T63" s="258"/>
      <c r="U63" s="258"/>
      <c r="V63" s="258"/>
      <c r="W63" s="258"/>
      <c r="X63" s="258"/>
      <c r="Y63" s="258"/>
      <c r="Z63" s="259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4"/>
        <v>0</v>
      </c>
      <c r="L64" s="2"/>
      <c r="M64" s="2"/>
      <c r="N64" s="2">
        <f t="shared" si="5"/>
        <v>0</v>
      </c>
      <c r="O64" s="2"/>
      <c r="P64" s="3"/>
      <c r="R64" s="257"/>
      <c r="S64" s="258"/>
      <c r="T64" s="258"/>
      <c r="U64" s="258"/>
      <c r="V64" s="258"/>
      <c r="W64" s="258"/>
      <c r="X64" s="258"/>
      <c r="Y64" s="258"/>
      <c r="Z64" s="259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4"/>
        <v>0</v>
      </c>
      <c r="L65" s="2"/>
      <c r="M65" s="2"/>
      <c r="N65" s="2">
        <f t="shared" si="5"/>
        <v>0</v>
      </c>
      <c r="O65" s="2"/>
      <c r="P65" s="3"/>
      <c r="R65" s="257"/>
      <c r="S65" s="258"/>
      <c r="T65" s="258"/>
      <c r="U65" s="258"/>
      <c r="V65" s="258"/>
      <c r="W65" s="258"/>
      <c r="X65" s="258"/>
      <c r="Y65" s="258"/>
      <c r="Z65" s="259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4"/>
        <v>0</v>
      </c>
      <c r="L66" s="2"/>
      <c r="M66" s="2"/>
      <c r="N66" s="2">
        <f t="shared" si="5"/>
        <v>0</v>
      </c>
      <c r="O66" s="2"/>
      <c r="P66" s="3"/>
      <c r="R66" s="257"/>
      <c r="S66" s="258"/>
      <c r="T66" s="258"/>
      <c r="U66" s="258"/>
      <c r="V66" s="258"/>
      <c r="W66" s="258"/>
      <c r="X66" s="258"/>
      <c r="Y66" s="258"/>
      <c r="Z66" s="259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4"/>
        <v>0</v>
      </c>
      <c r="L67" s="2"/>
      <c r="M67" s="2"/>
      <c r="N67" s="2">
        <f t="shared" si="5"/>
        <v>0</v>
      </c>
      <c r="O67" s="2"/>
      <c r="P67" s="3"/>
      <c r="R67" s="257"/>
      <c r="S67" s="258"/>
      <c r="T67" s="258"/>
      <c r="U67" s="258"/>
      <c r="V67" s="258"/>
      <c r="W67" s="258"/>
      <c r="X67" s="258"/>
      <c r="Y67" s="258"/>
      <c r="Z67" s="259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4"/>
        <v>0</v>
      </c>
      <c r="L68" s="2"/>
      <c r="M68" s="2"/>
      <c r="N68" s="2">
        <f t="shared" si="5"/>
        <v>0</v>
      </c>
      <c r="O68" s="2"/>
      <c r="P68" s="3"/>
      <c r="R68" s="257"/>
      <c r="S68" s="258"/>
      <c r="T68" s="258"/>
      <c r="U68" s="258"/>
      <c r="V68" s="258"/>
      <c r="W68" s="258"/>
      <c r="X68" s="258"/>
      <c r="Y68" s="258"/>
      <c r="Z68" s="259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4"/>
        <v>0</v>
      </c>
      <c r="L69" s="2"/>
      <c r="M69" s="2"/>
      <c r="N69" s="2">
        <f t="shared" si="5"/>
        <v>0</v>
      </c>
      <c r="O69" s="2"/>
      <c r="P69" s="3"/>
      <c r="R69" s="257"/>
      <c r="S69" s="258"/>
      <c r="T69" s="258"/>
      <c r="U69" s="258"/>
      <c r="V69" s="258"/>
      <c r="W69" s="258"/>
      <c r="X69" s="258"/>
      <c r="Y69" s="258"/>
      <c r="Z69" s="259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4"/>
        <v>0</v>
      </c>
      <c r="L70" s="2"/>
      <c r="M70" s="2"/>
      <c r="N70" s="2">
        <f t="shared" si="5"/>
        <v>0</v>
      </c>
      <c r="O70" s="2"/>
      <c r="P70" s="3"/>
      <c r="R70" s="257"/>
      <c r="S70" s="258"/>
      <c r="T70" s="258"/>
      <c r="U70" s="258"/>
      <c r="V70" s="258"/>
      <c r="W70" s="258"/>
      <c r="X70" s="258"/>
      <c r="Y70" s="258"/>
      <c r="Z70" s="259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4"/>
        <v>0</v>
      </c>
      <c r="L71" s="2"/>
      <c r="M71" s="2"/>
      <c r="N71" s="2">
        <f t="shared" si="5"/>
        <v>0</v>
      </c>
      <c r="O71" s="2"/>
      <c r="P71" s="3"/>
      <c r="R71" s="257"/>
      <c r="S71" s="258"/>
      <c r="T71" s="258"/>
      <c r="U71" s="258"/>
      <c r="V71" s="258"/>
      <c r="W71" s="258"/>
      <c r="X71" s="258"/>
      <c r="Y71" s="258"/>
      <c r="Z71" s="259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6">SUM(SUM(B72:F72)*360,SUM(G72:J72)*90)</f>
        <v>0</v>
      </c>
      <c r="L72" s="2"/>
      <c r="M72" s="2"/>
      <c r="N72" s="2">
        <f t="shared" si="5"/>
        <v>0</v>
      </c>
      <c r="O72" s="2"/>
      <c r="P72" s="3"/>
      <c r="R72" s="257"/>
      <c r="S72" s="258"/>
      <c r="T72" s="258"/>
      <c r="U72" s="258"/>
      <c r="V72" s="258"/>
      <c r="W72" s="258"/>
      <c r="X72" s="258"/>
      <c r="Y72" s="258"/>
      <c r="Z72" s="259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6"/>
        <v>0</v>
      </c>
      <c r="L73" s="2"/>
      <c r="M73" s="2"/>
      <c r="N73" s="2">
        <f t="shared" ref="N73:N101" si="7">K73+L73-M73</f>
        <v>0</v>
      </c>
      <c r="O73" s="2"/>
      <c r="P73" s="3"/>
      <c r="R73" s="257"/>
      <c r="S73" s="258"/>
      <c r="T73" s="258"/>
      <c r="U73" s="258"/>
      <c r="V73" s="258"/>
      <c r="W73" s="258"/>
      <c r="X73" s="258"/>
      <c r="Y73" s="258"/>
      <c r="Z73" s="259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6"/>
        <v>0</v>
      </c>
      <c r="L74" s="2"/>
      <c r="M74" s="2"/>
      <c r="N74" s="2">
        <f t="shared" si="7"/>
        <v>0</v>
      </c>
      <c r="O74" s="2"/>
      <c r="P74" s="3"/>
      <c r="R74" s="257"/>
      <c r="S74" s="258"/>
      <c r="T74" s="258"/>
      <c r="U74" s="258"/>
      <c r="V74" s="258"/>
      <c r="W74" s="258"/>
      <c r="X74" s="258"/>
      <c r="Y74" s="258"/>
      <c r="Z74" s="259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6"/>
        <v>0</v>
      </c>
      <c r="L75" s="2"/>
      <c r="M75" s="2"/>
      <c r="N75" s="2">
        <f t="shared" si="7"/>
        <v>0</v>
      </c>
      <c r="O75" s="2"/>
      <c r="P75" s="3"/>
      <c r="R75" s="257"/>
      <c r="S75" s="258"/>
      <c r="T75" s="258"/>
      <c r="U75" s="258"/>
      <c r="V75" s="258"/>
      <c r="W75" s="258"/>
      <c r="X75" s="258"/>
      <c r="Y75" s="258"/>
      <c r="Z75" s="259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6"/>
        <v>0</v>
      </c>
      <c r="L76" s="2"/>
      <c r="M76" s="2"/>
      <c r="N76" s="2">
        <f t="shared" si="7"/>
        <v>0</v>
      </c>
      <c r="O76" s="2"/>
      <c r="P76" s="3"/>
      <c r="R76" s="257"/>
      <c r="S76" s="258"/>
      <c r="T76" s="258"/>
      <c r="U76" s="258"/>
      <c r="V76" s="258"/>
      <c r="W76" s="258"/>
      <c r="X76" s="258"/>
      <c r="Y76" s="258"/>
      <c r="Z76" s="259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6"/>
        <v>0</v>
      </c>
      <c r="L77" s="2"/>
      <c r="M77" s="2"/>
      <c r="N77" s="2">
        <f t="shared" si="7"/>
        <v>0</v>
      </c>
      <c r="O77" s="2"/>
      <c r="P77" s="3"/>
      <c r="R77" s="257"/>
      <c r="S77" s="258"/>
      <c r="T77" s="258"/>
      <c r="U77" s="258"/>
      <c r="V77" s="258"/>
      <c r="W77" s="258"/>
      <c r="X77" s="258"/>
      <c r="Y77" s="258"/>
      <c r="Z77" s="259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6"/>
        <v>0</v>
      </c>
      <c r="L78" s="2"/>
      <c r="M78" s="2"/>
      <c r="N78" s="2">
        <f t="shared" si="7"/>
        <v>0</v>
      </c>
      <c r="O78" s="2"/>
      <c r="P78" s="3"/>
      <c r="R78" s="257"/>
      <c r="S78" s="258"/>
      <c r="T78" s="258"/>
      <c r="U78" s="258"/>
      <c r="V78" s="258"/>
      <c r="W78" s="258"/>
      <c r="X78" s="258"/>
      <c r="Y78" s="258"/>
      <c r="Z78" s="259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6"/>
        <v>0</v>
      </c>
      <c r="L79" s="2"/>
      <c r="M79" s="2"/>
      <c r="N79" s="2">
        <f t="shared" si="7"/>
        <v>0</v>
      </c>
      <c r="O79" s="2"/>
      <c r="P79" s="3"/>
      <c r="R79" s="257"/>
      <c r="S79" s="258"/>
      <c r="T79" s="258"/>
      <c r="U79" s="258"/>
      <c r="V79" s="258"/>
      <c r="W79" s="258"/>
      <c r="X79" s="258"/>
      <c r="Y79" s="258"/>
      <c r="Z79" s="259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6"/>
        <v>0</v>
      </c>
      <c r="L80" s="2"/>
      <c r="M80" s="2"/>
      <c r="N80" s="2">
        <f t="shared" si="7"/>
        <v>0</v>
      </c>
      <c r="O80" s="2"/>
      <c r="P80" s="3"/>
      <c r="R80" s="257"/>
      <c r="S80" s="258"/>
      <c r="T80" s="258"/>
      <c r="U80" s="258"/>
      <c r="V80" s="258"/>
      <c r="W80" s="258"/>
      <c r="X80" s="258"/>
      <c r="Y80" s="258"/>
      <c r="Z80" s="259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6"/>
        <v>0</v>
      </c>
      <c r="L81" s="2"/>
      <c r="M81" s="2"/>
      <c r="N81" s="2">
        <f t="shared" si="7"/>
        <v>0</v>
      </c>
      <c r="O81" s="2"/>
      <c r="P81" s="3"/>
      <c r="R81" s="257"/>
      <c r="S81" s="258"/>
      <c r="T81" s="258"/>
      <c r="U81" s="258"/>
      <c r="V81" s="258"/>
      <c r="W81" s="258"/>
      <c r="X81" s="258"/>
      <c r="Y81" s="258"/>
      <c r="Z81" s="259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6"/>
        <v>0</v>
      </c>
      <c r="L82" s="2"/>
      <c r="M82" s="2"/>
      <c r="N82" s="2">
        <f t="shared" si="7"/>
        <v>0</v>
      </c>
      <c r="O82" s="2"/>
      <c r="P82" s="3"/>
      <c r="R82" s="257"/>
      <c r="S82" s="258"/>
      <c r="T82" s="258"/>
      <c r="U82" s="258"/>
      <c r="V82" s="258"/>
      <c r="W82" s="258"/>
      <c r="X82" s="258"/>
      <c r="Y82" s="258"/>
      <c r="Z82" s="259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6"/>
        <v>0</v>
      </c>
      <c r="L83" s="2"/>
      <c r="M83" s="2"/>
      <c r="N83" s="2">
        <f t="shared" si="7"/>
        <v>0</v>
      </c>
      <c r="O83" s="2"/>
      <c r="P83" s="3"/>
      <c r="R83" s="257"/>
      <c r="S83" s="258"/>
      <c r="T83" s="258"/>
      <c r="U83" s="258"/>
      <c r="V83" s="258"/>
      <c r="W83" s="258"/>
      <c r="X83" s="258"/>
      <c r="Y83" s="258"/>
      <c r="Z83" s="259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6"/>
        <v>0</v>
      </c>
      <c r="L84" s="2"/>
      <c r="M84" s="2"/>
      <c r="N84" s="2">
        <f t="shared" si="7"/>
        <v>0</v>
      </c>
      <c r="O84" s="2"/>
      <c r="P84" s="3"/>
      <c r="R84" s="257"/>
      <c r="S84" s="258"/>
      <c r="T84" s="258"/>
      <c r="U84" s="258"/>
      <c r="V84" s="258"/>
      <c r="W84" s="258"/>
      <c r="X84" s="258"/>
      <c r="Y84" s="258"/>
      <c r="Z84" s="259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6"/>
        <v>0</v>
      </c>
      <c r="L85" s="2"/>
      <c r="M85" s="2"/>
      <c r="N85" s="2">
        <f t="shared" si="7"/>
        <v>0</v>
      </c>
      <c r="O85" s="2"/>
      <c r="P85" s="3"/>
      <c r="R85" s="257"/>
      <c r="S85" s="258"/>
      <c r="T85" s="258"/>
      <c r="U85" s="258"/>
      <c r="V85" s="258"/>
      <c r="W85" s="258"/>
      <c r="X85" s="258"/>
      <c r="Y85" s="258"/>
      <c r="Z85" s="259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6"/>
        <v>0</v>
      </c>
      <c r="L86" s="2"/>
      <c r="M86" s="2"/>
      <c r="N86" s="2">
        <f t="shared" si="7"/>
        <v>0</v>
      </c>
      <c r="O86" s="2"/>
      <c r="P86" s="3"/>
      <c r="R86" s="257"/>
      <c r="S86" s="258"/>
      <c r="T86" s="258"/>
      <c r="U86" s="258"/>
      <c r="V86" s="258"/>
      <c r="W86" s="258"/>
      <c r="X86" s="258"/>
      <c r="Y86" s="258"/>
      <c r="Z86" s="259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6"/>
        <v>0</v>
      </c>
      <c r="L87" s="2"/>
      <c r="M87" s="2"/>
      <c r="N87" s="2">
        <f t="shared" si="7"/>
        <v>0</v>
      </c>
      <c r="O87" s="2"/>
      <c r="P87" s="3"/>
      <c r="R87" s="257"/>
      <c r="S87" s="258"/>
      <c r="T87" s="258"/>
      <c r="U87" s="258"/>
      <c r="V87" s="258"/>
      <c r="W87" s="258"/>
      <c r="X87" s="258"/>
      <c r="Y87" s="258"/>
      <c r="Z87" s="259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6"/>
        <v>0</v>
      </c>
      <c r="L88" s="2"/>
      <c r="M88" s="2"/>
      <c r="N88" s="2">
        <f t="shared" si="7"/>
        <v>0</v>
      </c>
      <c r="O88" s="2"/>
      <c r="P88" s="3"/>
      <c r="R88" s="257"/>
      <c r="S88" s="258"/>
      <c r="T88" s="258"/>
      <c r="U88" s="258"/>
      <c r="V88" s="258"/>
      <c r="W88" s="258"/>
      <c r="X88" s="258"/>
      <c r="Y88" s="258"/>
      <c r="Z88" s="259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6"/>
        <v>0</v>
      </c>
      <c r="L89" s="2"/>
      <c r="M89" s="2"/>
      <c r="N89" s="2">
        <f t="shared" si="7"/>
        <v>0</v>
      </c>
      <c r="O89" s="2"/>
      <c r="P89" s="3"/>
      <c r="R89" s="257"/>
      <c r="S89" s="258"/>
      <c r="T89" s="258"/>
      <c r="U89" s="258"/>
      <c r="V89" s="258"/>
      <c r="W89" s="258"/>
      <c r="X89" s="258"/>
      <c r="Y89" s="258"/>
      <c r="Z89" s="259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6"/>
        <v>0</v>
      </c>
      <c r="L90" s="2"/>
      <c r="M90" s="2"/>
      <c r="N90" s="2">
        <f t="shared" si="7"/>
        <v>0</v>
      </c>
      <c r="O90" s="2"/>
      <c r="P90" s="3"/>
      <c r="R90" s="257"/>
      <c r="S90" s="258"/>
      <c r="T90" s="258"/>
      <c r="U90" s="258"/>
      <c r="V90" s="258"/>
      <c r="W90" s="258"/>
      <c r="X90" s="258"/>
      <c r="Y90" s="258"/>
      <c r="Z90" s="259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6"/>
        <v>0</v>
      </c>
      <c r="L91" s="2"/>
      <c r="M91" s="2"/>
      <c r="N91" s="2">
        <f t="shared" si="7"/>
        <v>0</v>
      </c>
      <c r="O91" s="2"/>
      <c r="P91" s="3"/>
      <c r="R91" s="257"/>
      <c r="S91" s="258"/>
      <c r="T91" s="258"/>
      <c r="U91" s="258"/>
      <c r="V91" s="258"/>
      <c r="W91" s="258"/>
      <c r="X91" s="258"/>
      <c r="Y91" s="258"/>
      <c r="Z91" s="259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6"/>
        <v>0</v>
      </c>
      <c r="L92" s="2"/>
      <c r="M92" s="2"/>
      <c r="N92" s="2">
        <f t="shared" si="7"/>
        <v>0</v>
      </c>
      <c r="O92" s="2"/>
      <c r="P92" s="3"/>
      <c r="R92" s="257"/>
      <c r="S92" s="258"/>
      <c r="T92" s="258"/>
      <c r="U92" s="258"/>
      <c r="V92" s="258"/>
      <c r="W92" s="258"/>
      <c r="X92" s="258"/>
      <c r="Y92" s="258"/>
      <c r="Z92" s="259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6"/>
        <v>0</v>
      </c>
      <c r="L93" s="2"/>
      <c r="M93" s="2"/>
      <c r="N93" s="2">
        <f t="shared" si="7"/>
        <v>0</v>
      </c>
      <c r="O93" s="2"/>
      <c r="P93" s="3"/>
      <c r="R93" s="257"/>
      <c r="S93" s="258"/>
      <c r="T93" s="258"/>
      <c r="U93" s="258"/>
      <c r="V93" s="258"/>
      <c r="W93" s="258"/>
      <c r="X93" s="258"/>
      <c r="Y93" s="258"/>
      <c r="Z93" s="259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6"/>
        <v>0</v>
      </c>
      <c r="L94" s="2"/>
      <c r="M94" s="2"/>
      <c r="N94" s="2">
        <f t="shared" si="7"/>
        <v>0</v>
      </c>
      <c r="O94" s="2"/>
      <c r="P94" s="3"/>
      <c r="R94" s="257"/>
      <c r="S94" s="258"/>
      <c r="T94" s="258"/>
      <c r="U94" s="258"/>
      <c r="V94" s="258"/>
      <c r="W94" s="258"/>
      <c r="X94" s="258"/>
      <c r="Y94" s="258"/>
      <c r="Z94" s="259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6"/>
        <v>0</v>
      </c>
      <c r="L95" s="2"/>
      <c r="M95" s="2"/>
      <c r="N95" s="2">
        <f t="shared" si="7"/>
        <v>0</v>
      </c>
      <c r="O95" s="2"/>
      <c r="P95" s="3"/>
      <c r="R95" s="257"/>
      <c r="S95" s="258"/>
      <c r="T95" s="258"/>
      <c r="U95" s="258"/>
      <c r="V95" s="258"/>
      <c r="W95" s="258"/>
      <c r="X95" s="258"/>
      <c r="Y95" s="258"/>
      <c r="Z95" s="259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6"/>
        <v>0</v>
      </c>
      <c r="L96" s="2"/>
      <c r="M96" s="2"/>
      <c r="N96" s="2">
        <f t="shared" si="7"/>
        <v>0</v>
      </c>
      <c r="O96" s="2"/>
      <c r="P96" s="3"/>
      <c r="R96" s="257"/>
      <c r="S96" s="258"/>
      <c r="T96" s="258"/>
      <c r="U96" s="258"/>
      <c r="V96" s="258"/>
      <c r="W96" s="258"/>
      <c r="X96" s="258"/>
      <c r="Y96" s="258"/>
      <c r="Z96" s="259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6"/>
        <v>0</v>
      </c>
      <c r="L97" s="2"/>
      <c r="M97" s="2"/>
      <c r="N97" s="2">
        <f t="shared" si="7"/>
        <v>0</v>
      </c>
      <c r="O97" s="2"/>
      <c r="P97" s="3"/>
      <c r="R97" s="257"/>
      <c r="S97" s="258"/>
      <c r="T97" s="258"/>
      <c r="U97" s="258"/>
      <c r="V97" s="258"/>
      <c r="W97" s="258"/>
      <c r="X97" s="258"/>
      <c r="Y97" s="258"/>
      <c r="Z97" s="259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6"/>
        <v>0</v>
      </c>
      <c r="L98" s="2"/>
      <c r="M98" s="2"/>
      <c r="N98" s="2">
        <f t="shared" si="7"/>
        <v>0</v>
      </c>
      <c r="O98" s="2"/>
      <c r="P98" s="3"/>
      <c r="R98" s="257"/>
      <c r="S98" s="258"/>
      <c r="T98" s="258"/>
      <c r="U98" s="258"/>
      <c r="V98" s="258"/>
      <c r="W98" s="258"/>
      <c r="X98" s="258"/>
      <c r="Y98" s="258"/>
      <c r="Z98" s="259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6"/>
        <v>0</v>
      </c>
      <c r="L99" s="2"/>
      <c r="M99" s="2"/>
      <c r="N99" s="2">
        <f t="shared" si="7"/>
        <v>0</v>
      </c>
      <c r="O99" s="2"/>
      <c r="P99" s="3"/>
      <c r="R99" s="257"/>
      <c r="S99" s="258"/>
      <c r="T99" s="258"/>
      <c r="U99" s="258"/>
      <c r="V99" s="258"/>
      <c r="W99" s="258"/>
      <c r="X99" s="258"/>
      <c r="Y99" s="258"/>
      <c r="Z99" s="259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6"/>
        <v>0</v>
      </c>
      <c r="L100" s="9"/>
      <c r="M100" s="9"/>
      <c r="N100" s="9">
        <f t="shared" si="7"/>
        <v>0</v>
      </c>
      <c r="O100" s="9"/>
      <c r="P100" s="4"/>
      <c r="R100" s="260"/>
      <c r="S100" s="261"/>
      <c r="T100" s="261"/>
      <c r="U100" s="261"/>
      <c r="V100" s="261"/>
      <c r="W100" s="261"/>
      <c r="X100" s="261"/>
      <c r="Y100" s="261"/>
      <c r="Z100" s="262"/>
    </row>
    <row r="101" spans="1:26">
      <c r="K101">
        <f t="shared" si="6"/>
        <v>0</v>
      </c>
      <c r="N101">
        <f t="shared" si="7"/>
        <v>0</v>
      </c>
    </row>
  </sheetData>
  <mergeCells count="99">
    <mergeCell ref="R99:Z99"/>
    <mergeCell ref="R100:Z100"/>
    <mergeCell ref="R94:Z94"/>
    <mergeCell ref="R95:Z95"/>
    <mergeCell ref="R96:Z96"/>
    <mergeCell ref="R97:Z97"/>
    <mergeCell ref="R98:Z98"/>
    <mergeCell ref="R89:Z89"/>
    <mergeCell ref="R90:Z90"/>
    <mergeCell ref="R91:Z91"/>
    <mergeCell ref="R92:Z92"/>
    <mergeCell ref="R93:Z93"/>
    <mergeCell ref="R84:Z84"/>
    <mergeCell ref="R85:Z85"/>
    <mergeCell ref="R86:Z86"/>
    <mergeCell ref="R87:Z87"/>
    <mergeCell ref="R88:Z88"/>
    <mergeCell ref="R79:Z79"/>
    <mergeCell ref="R80:Z80"/>
    <mergeCell ref="R81:Z81"/>
    <mergeCell ref="R82:Z82"/>
    <mergeCell ref="R83:Z83"/>
    <mergeCell ref="R74:Z74"/>
    <mergeCell ref="R75:Z75"/>
    <mergeCell ref="R76:Z76"/>
    <mergeCell ref="R77:Z77"/>
    <mergeCell ref="R78:Z78"/>
    <mergeCell ref="R69:Z69"/>
    <mergeCell ref="R70:Z70"/>
    <mergeCell ref="R71:Z71"/>
    <mergeCell ref="R72:Z72"/>
    <mergeCell ref="R73:Z73"/>
    <mergeCell ref="R64:Z64"/>
    <mergeCell ref="R65:Z65"/>
    <mergeCell ref="R66:Z66"/>
    <mergeCell ref="R67:Z67"/>
    <mergeCell ref="R68:Z68"/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R60:Z60"/>
    <mergeCell ref="R61:Z61"/>
    <mergeCell ref="R62:Z62"/>
    <mergeCell ref="R63:Z63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T41:T55" xr:uid="{34202D64-3A9F-BD43-B22D-F476256900FA}">
      <formula1>"技術,人為,過期,吃掉"</formula1>
    </dataValidation>
    <dataValidation type="list" allowBlank="1" showInputMessage="1" showErrorMessage="1" sqref="R41:R55" xr:uid="{8847E78E-925C-E841-B240-F73B67075F7A}">
      <formula1>$R$33:$R$36</formula1>
    </dataValidation>
    <dataValidation type="list" allowBlank="1" showInputMessage="1" showErrorMessage="1" sqref="O8:O101" xr:uid="{D0CBC348-2F06-5643-B091-1089BC264D85}">
      <formula1>$T$13:$T$16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41F5E-6C85-194D-8631-CC2659649AE8}">
  <sheetPr codeName="工作表10"/>
  <dimension ref="A1:AD101"/>
  <sheetViews>
    <sheetView zoomScale="92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39" si="0">SUM(SUM(B8:F8)*360,SUM(G8:J8)*90)</f>
        <v>0</v>
      </c>
      <c r="L8" s="2"/>
      <c r="M8" s="2"/>
      <c r="N8" s="2">
        <f t="shared" ref="N8:N39" si="1">K8+L8-M8</f>
        <v>0</v>
      </c>
      <c r="O8" s="2" t="s">
        <v>27</v>
      </c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5" t="s">
        <v>118</v>
      </c>
      <c r="B9" s="2"/>
      <c r="C9" s="2">
        <v>1</v>
      </c>
      <c r="D9" s="2">
        <v>1</v>
      </c>
      <c r="E9" s="2">
        <v>1</v>
      </c>
      <c r="F9" s="2">
        <v>1</v>
      </c>
      <c r="G9" s="2"/>
      <c r="H9" s="2"/>
      <c r="I9" s="2"/>
      <c r="J9" s="2"/>
      <c r="K9" s="2">
        <f t="shared" si="0"/>
        <v>1440</v>
      </c>
      <c r="L9" s="2"/>
      <c r="M9" s="2"/>
      <c r="N9" s="2">
        <f t="shared" si="1"/>
        <v>1440</v>
      </c>
      <c r="O9" s="2" t="s">
        <v>25</v>
      </c>
      <c r="P9" s="3" t="s">
        <v>203</v>
      </c>
      <c r="R9" s="214" t="s">
        <v>32</v>
      </c>
      <c r="S9" s="214"/>
      <c r="T9" s="1" t="s">
        <v>22</v>
      </c>
      <c r="U9" s="244">
        <f>SUMIF(表格1_3345152535455[欄1],"&lt;&gt;公關品",表格1_3345152535455[運費])</f>
        <v>480</v>
      </c>
      <c r="V9" s="244"/>
      <c r="W9" s="2"/>
      <c r="X9" s="1" t="s">
        <v>109</v>
      </c>
      <c r="Y9" s="213">
        <f>INDEX('7'!Y12:Z13,1,1)</f>
        <v>-696</v>
      </c>
      <c r="Z9" s="213"/>
      <c r="AB9" t="str" cm="1">
        <f t="array" ref="AB9:AB10">_xlfn.LET(_xlpm.unpaid,_xlfn.UNIQUE(_xlfn._xlws.FILTER(A8:A100,O8:O100="未結帳款","今日無欠款")),IF(_xlpm.unpaid="今日無欠款","今日無欠款",_xlpm.unpaid&amp;"："&amp;SUMIFS(N8:N100,A8:A100,_xlpm.unpaid,O8:O100,"未結帳款")))</f>
        <v>林祥睿：5880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5" t="s">
        <v>118</v>
      </c>
      <c r="B10" s="2">
        <v>5</v>
      </c>
      <c r="C10" s="2"/>
      <c r="D10" s="2"/>
      <c r="E10" s="2"/>
      <c r="F10" s="2"/>
      <c r="G10" s="2"/>
      <c r="H10" s="2"/>
      <c r="I10" s="2"/>
      <c r="J10" s="2"/>
      <c r="K10" s="2">
        <f t="shared" si="0"/>
        <v>1800</v>
      </c>
      <c r="L10" s="2"/>
      <c r="M10" s="2"/>
      <c r="N10" s="2">
        <f t="shared" si="1"/>
        <v>1800</v>
      </c>
      <c r="O10" s="2" t="s">
        <v>25</v>
      </c>
      <c r="P10" s="3" t="s">
        <v>204</v>
      </c>
      <c r="R10" s="241">
        <f>SUM(K8:K101)-V15</f>
        <v>6480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6600</v>
      </c>
      <c r="Z10" s="213"/>
      <c r="AB10" t="str">
        <v>李泓陞：720</v>
      </c>
    </row>
    <row r="11" spans="1:30">
      <c r="A11" s="75" t="s">
        <v>118</v>
      </c>
      <c r="B11" s="2">
        <v>2</v>
      </c>
      <c r="C11" s="2"/>
      <c r="D11" s="2"/>
      <c r="E11" s="2"/>
      <c r="F11" s="2"/>
      <c r="G11" s="2"/>
      <c r="H11" s="2"/>
      <c r="I11" s="2"/>
      <c r="J11" s="2"/>
      <c r="K11" s="2">
        <f t="shared" si="0"/>
        <v>720</v>
      </c>
      <c r="L11" s="2">
        <v>160</v>
      </c>
      <c r="M11" s="2"/>
      <c r="N11" s="2">
        <f t="shared" si="1"/>
        <v>880</v>
      </c>
      <c r="O11" s="2" t="s">
        <v>25</v>
      </c>
      <c r="P11" s="3" t="s">
        <v>205</v>
      </c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5" t="s">
        <v>118</v>
      </c>
      <c r="B12" s="2">
        <v>2</v>
      </c>
      <c r="C12" s="2"/>
      <c r="D12" s="2"/>
      <c r="E12" s="2"/>
      <c r="F12" s="2"/>
      <c r="G12" s="2"/>
      <c r="H12" s="2"/>
      <c r="I12" s="2"/>
      <c r="J12" s="2"/>
      <c r="K12" s="2">
        <f t="shared" si="0"/>
        <v>720</v>
      </c>
      <c r="L12" s="2">
        <v>160</v>
      </c>
      <c r="M12" s="2"/>
      <c r="N12" s="2">
        <f t="shared" si="1"/>
        <v>880</v>
      </c>
      <c r="O12" s="2" t="s">
        <v>25</v>
      </c>
      <c r="P12" s="3" t="s">
        <v>206</v>
      </c>
      <c r="R12" s="243">
        <f>R10-U10-U11</f>
        <v>6480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5904</v>
      </c>
      <c r="Z12" s="213"/>
    </row>
    <row r="13" spans="1:30" ht="15" customHeight="1">
      <c r="A13" s="72" t="s">
        <v>188</v>
      </c>
      <c r="B13">
        <v>2</v>
      </c>
      <c r="C13" s="2"/>
      <c r="D13" s="2"/>
      <c r="E13" s="2"/>
      <c r="F13" s="2"/>
      <c r="G13" s="2"/>
      <c r="H13" s="2"/>
      <c r="I13" s="2"/>
      <c r="J13" s="2"/>
      <c r="K13" s="2">
        <f t="shared" si="0"/>
        <v>720</v>
      </c>
      <c r="L13" s="74"/>
      <c r="M13" s="2"/>
      <c r="N13" s="2">
        <f t="shared" si="1"/>
        <v>720</v>
      </c>
      <c r="O13" s="2" t="s">
        <v>25</v>
      </c>
      <c r="P13" t="s">
        <v>251</v>
      </c>
      <c r="R13" s="243"/>
      <c r="S13" s="243"/>
      <c r="T13" s="1" t="s">
        <v>28</v>
      </c>
      <c r="U13" s="1">
        <f>SUMIF(O8:O101,"匯款",N8:N101)</f>
        <v>360</v>
      </c>
      <c r="V13" s="1"/>
      <c r="W13" s="2"/>
      <c r="X13" s="214"/>
      <c r="Y13" s="213"/>
      <c r="Z13" s="213"/>
    </row>
    <row r="14" spans="1:30" ht="15" customHeight="1">
      <c r="A14" s="78" t="s">
        <v>118</v>
      </c>
      <c r="B14" s="2">
        <v>2</v>
      </c>
      <c r="C14" s="2"/>
      <c r="D14" s="2"/>
      <c r="E14" s="2"/>
      <c r="F14" s="2"/>
      <c r="G14" s="2"/>
      <c r="H14" s="2"/>
      <c r="I14" s="2"/>
      <c r="J14" s="2"/>
      <c r="K14" s="2">
        <f t="shared" si="0"/>
        <v>720</v>
      </c>
      <c r="L14" s="2">
        <v>160</v>
      </c>
      <c r="M14" s="2"/>
      <c r="N14" s="2">
        <f t="shared" si="1"/>
        <v>880</v>
      </c>
      <c r="O14" s="2" t="s">
        <v>25</v>
      </c>
      <c r="P14" t="s">
        <v>234</v>
      </c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 t="s">
        <v>252</v>
      </c>
      <c r="B15" s="2">
        <v>1</v>
      </c>
      <c r="C15" s="2"/>
      <c r="D15" s="2"/>
      <c r="E15" s="2"/>
      <c r="F15" s="2"/>
      <c r="G15" s="2"/>
      <c r="H15" s="2"/>
      <c r="I15" s="2"/>
      <c r="J15" s="2"/>
      <c r="K15" s="2">
        <f t="shared" si="0"/>
        <v>360</v>
      </c>
      <c r="L15" s="2"/>
      <c r="M15" s="2"/>
      <c r="N15" s="2">
        <f t="shared" si="1"/>
        <v>360</v>
      </c>
      <c r="O15" s="2" t="s">
        <v>27</v>
      </c>
      <c r="P15" s="81"/>
      <c r="R15" s="243"/>
      <c r="S15" s="243"/>
      <c r="T15" s="1" t="s">
        <v>26</v>
      </c>
      <c r="U15" s="1">
        <f>SUMIF(O8:O102,"未結帳款",N8:N103)</f>
        <v>6600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480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84">
        <f t="shared" si="0"/>
        <v>0</v>
      </c>
      <c r="L18" s="2"/>
      <c r="M18" s="2"/>
      <c r="N18" s="2">
        <f t="shared" si="1"/>
        <v>0</v>
      </c>
      <c r="O18" s="2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>
        <v>2080</v>
      </c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R19" s="204" t="s">
        <v>17</v>
      </c>
      <c r="S19" s="2" t="s">
        <v>3</v>
      </c>
      <c r="T19" s="2">
        <f ca="1">SUMIF(P8:P102,"&lt;&gt;公關品",B8:B100)</f>
        <v>14</v>
      </c>
      <c r="U19" s="2">
        <f ca="1">SUMIF(P8:P102,"公關品",B8:B100)</f>
        <v>0</v>
      </c>
      <c r="V19" s="15">
        <f ca="1">SUM(T19:T23,U19)</f>
        <v>18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R20" s="204"/>
      <c r="S20" s="2" t="s">
        <v>4</v>
      </c>
      <c r="T20" s="2">
        <f ca="1">SUMIF(P8:P102,"&lt;&gt;公關品",C8:C100)</f>
        <v>1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10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R21" s="204"/>
      <c r="S21" s="2" t="s">
        <v>5</v>
      </c>
      <c r="T21" s="2">
        <f ca="1">SUMIF(P8:P104,"&lt;&gt;公關品",D8:D102)</f>
        <v>1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-1610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R22" s="204"/>
      <c r="S22" s="2" t="s">
        <v>6</v>
      </c>
      <c r="T22" s="2">
        <f ca="1">SUMIF(P8:P102,"&lt;&gt;公關品",E8:E100)</f>
        <v>1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R23" s="204"/>
      <c r="S23" s="2" t="s">
        <v>7</v>
      </c>
      <c r="T23" s="2">
        <f ca="1">SUMIF(P8:P102,"&lt;&gt;公關品",F8:F100)</f>
        <v>1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18</v>
      </c>
      <c r="W24" s="2"/>
      <c r="X24" s="7" t="s">
        <v>103</v>
      </c>
      <c r="Y24" s="2">
        <v>3</v>
      </c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18</v>
      </c>
      <c r="W25" s="2"/>
      <c r="X25" s="7" t="s">
        <v>104</v>
      </c>
      <c r="Y25" s="2">
        <v>2</v>
      </c>
      <c r="Z25" s="3">
        <f>Y25*5</f>
        <v>10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18</v>
      </c>
      <c r="W26" s="2"/>
      <c r="X26" s="7" t="s">
        <v>105</v>
      </c>
      <c r="Y26" s="2">
        <v>2</v>
      </c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18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R33" s="7" t="s">
        <v>4</v>
      </c>
      <c r="S33" s="2">
        <f ca="1">'7'!Y33</f>
        <v>4</v>
      </c>
      <c r="T33" s="2">
        <v>43</v>
      </c>
      <c r="U33" s="2">
        <v>44</v>
      </c>
      <c r="V33" s="2">
        <f>SUMIF(R40:R55,"原味",S40:S55)</f>
        <v>10</v>
      </c>
      <c r="W33" s="114">
        <f ca="1">V24+U24+U19+U20*4</f>
        <v>18</v>
      </c>
      <c r="X33" s="114"/>
      <c r="Y33" s="13">
        <f ca="1">S33+U33-V33-W33</f>
        <v>20</v>
      </c>
      <c r="Z33" s="28">
        <f ca="1">IFERROR((V33/(U33+S33))," ")</f>
        <v>0.20833333333333334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R34" s="7" t="s">
        <v>5</v>
      </c>
      <c r="S34" s="2">
        <f ca="1">'7'!Y34</f>
        <v>5</v>
      </c>
      <c r="T34" s="2">
        <v>45</v>
      </c>
      <c r="U34" s="2">
        <v>45</v>
      </c>
      <c r="V34" s="2">
        <f>SUMIF(R41:R55,"可可",S41:S55)</f>
        <v>3</v>
      </c>
      <c r="W34" s="114">
        <f ca="1">V25+U25+U19+U21*4</f>
        <v>18</v>
      </c>
      <c r="X34" s="114"/>
      <c r="Y34" s="13">
        <f ca="1">S34+U34-V34-W34</f>
        <v>29</v>
      </c>
      <c r="Z34" s="28">
        <f ca="1">IFERROR((V34/(U34+S34))," ")</f>
        <v>0.06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R35" s="7" t="s">
        <v>6</v>
      </c>
      <c r="S35" s="2">
        <f ca="1">'7'!Y35</f>
        <v>10</v>
      </c>
      <c r="T35" s="2">
        <v>38</v>
      </c>
      <c r="U35" s="2">
        <v>31</v>
      </c>
      <c r="V35" s="2">
        <f>SUMIF(R41:R55,"伯爵",S41:S55)</f>
        <v>12</v>
      </c>
      <c r="W35" s="114">
        <f ca="1">V26+U26+U19+U22*4</f>
        <v>18</v>
      </c>
      <c r="X35" s="114"/>
      <c r="Y35" s="13">
        <f ca="1">S35+U35-V35-W35</f>
        <v>11</v>
      </c>
      <c r="Z35" s="28">
        <f ca="1">IFERROR((V35/(U35+S35))," ")</f>
        <v>0.29268292682926828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R36" s="7" t="s">
        <v>7</v>
      </c>
      <c r="S36" s="2">
        <f ca="1">'7'!Y36</f>
        <v>4</v>
      </c>
      <c r="T36" s="30">
        <v>44</v>
      </c>
      <c r="U36" s="30">
        <v>49</v>
      </c>
      <c r="V36" s="2">
        <f>SUMIF(R41:R55,"抹茶",S41:S55)</f>
        <v>7</v>
      </c>
      <c r="W36" s="114">
        <f ca="1">V27+U27+U19+U23*4</f>
        <v>18</v>
      </c>
      <c r="X36" s="114"/>
      <c r="Y36" s="13">
        <f ca="1">S36+U36-V36-W36</f>
        <v>28</v>
      </c>
      <c r="Z36" s="28">
        <f ca="1">IFERROR((V36/(U36+S36))," ")</f>
        <v>0.13207547169811321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77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8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ref="K40:K71" si="2">SUM(SUM(B40:F40)*360,SUM(G40:J40)*90)</f>
        <v>0</v>
      </c>
      <c r="L40" s="2"/>
      <c r="M40" s="2"/>
      <c r="N40" s="2">
        <f t="shared" ref="N40:N71" si="3">K40+L40-M40</f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2"/>
        <v>0</v>
      </c>
      <c r="L41" s="2"/>
      <c r="M41" s="2"/>
      <c r="N41" s="2">
        <f t="shared" si="3"/>
        <v>0</v>
      </c>
      <c r="O41" s="2"/>
      <c r="P41" s="3"/>
      <c r="R41" s="78" t="s">
        <v>68</v>
      </c>
      <c r="S41" s="76">
        <v>5</v>
      </c>
      <c r="T41" s="79" t="s">
        <v>99</v>
      </c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2"/>
        <v>0</v>
      </c>
      <c r="L42" s="2"/>
      <c r="M42" s="2"/>
      <c r="N42" s="2">
        <f t="shared" si="3"/>
        <v>0</v>
      </c>
      <c r="O42" s="2"/>
      <c r="P42" s="3"/>
      <c r="R42" s="78" t="s">
        <v>69</v>
      </c>
      <c r="S42" s="76">
        <v>3</v>
      </c>
      <c r="T42" s="79" t="s">
        <v>99</v>
      </c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2"/>
        <v>0</v>
      </c>
      <c r="L43" s="2"/>
      <c r="M43" s="2"/>
      <c r="N43" s="2">
        <f t="shared" si="3"/>
        <v>0</v>
      </c>
      <c r="O43" s="2"/>
      <c r="P43" s="3"/>
      <c r="R43" s="78" t="s">
        <v>70</v>
      </c>
      <c r="S43">
        <v>1</v>
      </c>
      <c r="T43" s="79" t="s">
        <v>99</v>
      </c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2"/>
        <v>0</v>
      </c>
      <c r="L44" s="2"/>
      <c r="M44" s="2"/>
      <c r="N44" s="2">
        <f t="shared" si="3"/>
        <v>0</v>
      </c>
      <c r="O44" s="2"/>
      <c r="P44" s="3"/>
      <c r="R44" s="78" t="s">
        <v>71</v>
      </c>
      <c r="S44" s="76">
        <v>7</v>
      </c>
      <c r="T44" s="79" t="s">
        <v>99</v>
      </c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2"/>
        <v>0</v>
      </c>
      <c r="L45" s="2"/>
      <c r="M45" s="2"/>
      <c r="N45" s="2">
        <f t="shared" si="3"/>
        <v>0</v>
      </c>
      <c r="O45" s="2"/>
      <c r="P45" s="3"/>
      <c r="R45" s="78" t="s">
        <v>68</v>
      </c>
      <c r="S45" s="30">
        <v>4</v>
      </c>
      <c r="T45" s="79" t="s">
        <v>99</v>
      </c>
      <c r="U45" s="182" t="s">
        <v>253</v>
      </c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2"/>
        <v>0</v>
      </c>
      <c r="L46" s="2"/>
      <c r="M46" s="2"/>
      <c r="N46" s="2">
        <f t="shared" si="3"/>
        <v>0</v>
      </c>
      <c r="O46" s="2"/>
      <c r="P46" s="3"/>
      <c r="R46" s="78" t="s">
        <v>70</v>
      </c>
      <c r="S46" s="30">
        <v>11</v>
      </c>
      <c r="T46" s="79" t="s">
        <v>99</v>
      </c>
      <c r="U46" s="182" t="s">
        <v>253</v>
      </c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2"/>
        <v>0</v>
      </c>
      <c r="L47" s="2"/>
      <c r="M47" s="2"/>
      <c r="N47" s="2">
        <f t="shared" si="3"/>
        <v>0</v>
      </c>
      <c r="O47" s="2"/>
      <c r="P47" s="3"/>
      <c r="R47" s="78" t="s">
        <v>68</v>
      </c>
      <c r="S47" s="30">
        <v>1</v>
      </c>
      <c r="T47" s="79" t="s">
        <v>100</v>
      </c>
      <c r="U47" s="182" t="s">
        <v>101</v>
      </c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2"/>
        <v>0</v>
      </c>
      <c r="L48" s="2"/>
      <c r="M48" s="2"/>
      <c r="N48" s="2">
        <f t="shared" si="3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2"/>
        <v>0</v>
      </c>
      <c r="L49" s="2"/>
      <c r="M49" s="2"/>
      <c r="N49" s="2">
        <f t="shared" si="3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2"/>
        <v>0</v>
      </c>
      <c r="L50" s="2"/>
      <c r="M50" s="2"/>
      <c r="N50" s="2">
        <f t="shared" si="3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2"/>
        <v>0</v>
      </c>
      <c r="L51" s="2"/>
      <c r="M51" s="2"/>
      <c r="N51" s="2">
        <f t="shared" si="3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2"/>
        <v>0</v>
      </c>
      <c r="L52" s="2"/>
      <c r="M52" s="2"/>
      <c r="N52" s="2">
        <f t="shared" si="3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2"/>
        <v>0</v>
      </c>
      <c r="L53" s="2"/>
      <c r="M53" s="2"/>
      <c r="N53" s="2">
        <f t="shared" si="3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2"/>
        <v>0</v>
      </c>
      <c r="L54" s="2"/>
      <c r="M54" s="2"/>
      <c r="N54" s="2">
        <f t="shared" si="3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2"/>
        <v>0</v>
      </c>
      <c r="L55" s="2"/>
      <c r="M55" s="2"/>
      <c r="N55" s="2">
        <f t="shared" si="3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2"/>
        <v>0</v>
      </c>
      <c r="L56" s="2"/>
      <c r="M56" s="2"/>
      <c r="N56" s="2">
        <f t="shared" si="3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2"/>
        <v>0</v>
      </c>
      <c r="L57" s="2"/>
      <c r="M57" s="2"/>
      <c r="N57" s="2">
        <f t="shared" si="3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2"/>
        <v>0</v>
      </c>
      <c r="L58" s="2"/>
      <c r="M58" s="2"/>
      <c r="N58" s="2">
        <f t="shared" si="3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2"/>
        <v>0</v>
      </c>
      <c r="L59" s="2"/>
      <c r="M59" s="2"/>
      <c r="N59" s="2">
        <f t="shared" si="3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2"/>
        <v>0</v>
      </c>
      <c r="L60" s="2"/>
      <c r="M60" s="2"/>
      <c r="N60" s="2">
        <f t="shared" si="3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2"/>
        <v>0</v>
      </c>
      <c r="L61" s="2"/>
      <c r="M61" s="2"/>
      <c r="N61" s="2">
        <f t="shared" si="3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2"/>
        <v>0</v>
      </c>
      <c r="L62" s="2"/>
      <c r="M62" s="2"/>
      <c r="N62" s="2">
        <f t="shared" si="3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2"/>
        <v>0</v>
      </c>
      <c r="L63" s="2"/>
      <c r="M63" s="2"/>
      <c r="N63" s="2">
        <f t="shared" si="3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2"/>
        <v>0</v>
      </c>
      <c r="L64" s="2"/>
      <c r="M64" s="2"/>
      <c r="N64" s="2">
        <f t="shared" si="3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2"/>
        <v>0</v>
      </c>
      <c r="L65" s="2"/>
      <c r="M65" s="2"/>
      <c r="N65" s="2">
        <f t="shared" si="3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2"/>
        <v>0</v>
      </c>
      <c r="L66" s="2"/>
      <c r="M66" s="2"/>
      <c r="N66" s="2">
        <f t="shared" si="3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2"/>
        <v>0</v>
      </c>
      <c r="L67" s="2"/>
      <c r="M67" s="2"/>
      <c r="N67" s="2">
        <f t="shared" si="3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2"/>
        <v>0</v>
      </c>
      <c r="L68" s="2"/>
      <c r="M68" s="2"/>
      <c r="N68" s="2">
        <f t="shared" si="3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2"/>
        <v>0</v>
      </c>
      <c r="L69" s="2"/>
      <c r="M69" s="2"/>
      <c r="N69" s="2">
        <f t="shared" si="3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2"/>
        <v>0</v>
      </c>
      <c r="L70" s="2"/>
      <c r="M70" s="2"/>
      <c r="N70" s="2">
        <f t="shared" si="3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2"/>
        <v>0</v>
      </c>
      <c r="L71" s="2"/>
      <c r="M71" s="2"/>
      <c r="N71" s="2">
        <f t="shared" si="3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4">SUM(SUM(B72:F72)*360,SUM(G72:J72)*90)</f>
        <v>0</v>
      </c>
      <c r="L72" s="2"/>
      <c r="M72" s="2"/>
      <c r="N72" s="2">
        <f t="shared" ref="N72" si="5">K72+L72-M72</f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4"/>
        <v>0</v>
      </c>
      <c r="L73" s="2"/>
      <c r="M73" s="2"/>
      <c r="N73" s="2">
        <f t="shared" ref="N73:N101" si="6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4"/>
        <v>0</v>
      </c>
      <c r="L74" s="2"/>
      <c r="M74" s="2"/>
      <c r="N74" s="2">
        <f t="shared" si="6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4"/>
        <v>0</v>
      </c>
      <c r="L75" s="2"/>
      <c r="M75" s="2"/>
      <c r="N75" s="2">
        <f t="shared" si="6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4"/>
        <v>0</v>
      </c>
      <c r="L76" s="2"/>
      <c r="M76" s="2"/>
      <c r="N76" s="2">
        <f t="shared" si="6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4"/>
        <v>0</v>
      </c>
      <c r="L77" s="2"/>
      <c r="M77" s="2"/>
      <c r="N77" s="2">
        <f t="shared" si="6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4"/>
        <v>0</v>
      </c>
      <c r="L78" s="2"/>
      <c r="M78" s="2"/>
      <c r="N78" s="2">
        <f t="shared" si="6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4"/>
        <v>0</v>
      </c>
      <c r="L79" s="2"/>
      <c r="M79" s="2"/>
      <c r="N79" s="2">
        <f t="shared" si="6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4"/>
        <v>0</v>
      </c>
      <c r="L80" s="2"/>
      <c r="M80" s="2"/>
      <c r="N80" s="2">
        <f t="shared" si="6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4"/>
        <v>0</v>
      </c>
      <c r="L81" s="2"/>
      <c r="M81" s="2"/>
      <c r="N81" s="2">
        <f t="shared" si="6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4"/>
        <v>0</v>
      </c>
      <c r="L82" s="2"/>
      <c r="M82" s="2"/>
      <c r="N82" s="2">
        <f t="shared" si="6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4"/>
        <v>0</v>
      </c>
      <c r="L83" s="2"/>
      <c r="M83" s="2"/>
      <c r="N83" s="2">
        <f t="shared" si="6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4"/>
        <v>0</v>
      </c>
      <c r="L84" s="2"/>
      <c r="M84" s="2"/>
      <c r="N84" s="2">
        <f t="shared" si="6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4"/>
        <v>0</v>
      </c>
      <c r="L85" s="2"/>
      <c r="M85" s="2"/>
      <c r="N85" s="2">
        <f t="shared" si="6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4"/>
        <v>0</v>
      </c>
      <c r="L86" s="2"/>
      <c r="M86" s="2"/>
      <c r="N86" s="2">
        <f t="shared" si="6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4"/>
        <v>0</v>
      </c>
      <c r="L87" s="2"/>
      <c r="M87" s="2"/>
      <c r="N87" s="2">
        <f t="shared" si="6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4"/>
        <v>0</v>
      </c>
      <c r="L88" s="2"/>
      <c r="M88" s="2"/>
      <c r="N88" s="2">
        <f t="shared" si="6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4"/>
        <v>0</v>
      </c>
      <c r="L89" s="2"/>
      <c r="M89" s="2"/>
      <c r="N89" s="2">
        <f t="shared" si="6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4"/>
        <v>0</v>
      </c>
      <c r="L90" s="2"/>
      <c r="M90" s="2"/>
      <c r="N90" s="2">
        <f t="shared" si="6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4"/>
        <v>0</v>
      </c>
      <c r="L91" s="2"/>
      <c r="M91" s="2"/>
      <c r="N91" s="2">
        <f t="shared" si="6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4"/>
        <v>0</v>
      </c>
      <c r="L92" s="2"/>
      <c r="M92" s="2"/>
      <c r="N92" s="2">
        <f t="shared" si="6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4"/>
        <v>0</v>
      </c>
      <c r="L93" s="2"/>
      <c r="M93" s="2"/>
      <c r="N93" s="2">
        <f t="shared" si="6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4"/>
        <v>0</v>
      </c>
      <c r="L94" s="2"/>
      <c r="M94" s="2"/>
      <c r="N94" s="2">
        <f t="shared" si="6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4"/>
        <v>0</v>
      </c>
      <c r="L95" s="2"/>
      <c r="M95" s="2"/>
      <c r="N95" s="2">
        <f t="shared" si="6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4"/>
        <v>0</v>
      </c>
      <c r="L96" s="2"/>
      <c r="M96" s="2"/>
      <c r="N96" s="2">
        <f t="shared" si="6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4"/>
        <v>0</v>
      </c>
      <c r="L97" s="2"/>
      <c r="M97" s="2"/>
      <c r="N97" s="2">
        <f t="shared" si="6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4"/>
        <v>0</v>
      </c>
      <c r="L98" s="2"/>
      <c r="M98" s="2"/>
      <c r="N98" s="2">
        <f t="shared" si="6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4"/>
        <v>0</v>
      </c>
      <c r="L99" s="2"/>
      <c r="M99" s="2"/>
      <c r="N99" s="2">
        <f t="shared" si="6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4"/>
        <v>0</v>
      </c>
      <c r="L100" s="9"/>
      <c r="M100" s="9"/>
      <c r="N100" s="9">
        <f t="shared" si="6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4"/>
        <v>0</v>
      </c>
      <c r="N101">
        <f t="shared" si="6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4">
    <dataValidation type="list" allowBlank="1" showInputMessage="1" showErrorMessage="1" sqref="O8:O12 O14:O101" xr:uid="{A367B6E1-C336-8342-882D-CC1E414A31FC}">
      <formula1>$T$13:$T$15</formula1>
    </dataValidation>
    <dataValidation type="list" allowBlank="1" showInputMessage="1" showErrorMessage="1" sqref="R41:R55" xr:uid="{4832F083-5F26-1444-B712-BDD769E59501}">
      <formula1>$R$33:$R$36</formula1>
    </dataValidation>
    <dataValidation type="list" allowBlank="1" showInputMessage="1" showErrorMessage="1" sqref="T41:T55" xr:uid="{0316FEBD-887B-CD4D-8FBB-229C6BE98C2A}">
      <formula1>"技術,人為,過期,吃掉"</formula1>
    </dataValidation>
    <dataValidation type="list" allowBlank="1" showInputMessage="1" showErrorMessage="1" sqref="O13" xr:uid="{D0CBC348-2F06-5643-B091-1089BC264D85}">
      <formula1>$T$13:$T$16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2F69-F6D7-014C-BC79-6A1D925E52F8}">
  <sheetPr codeName="工作表11"/>
  <dimension ref="A1:AD101"/>
  <sheetViews>
    <sheetView topLeftCell="A4" zoomScale="89" zoomScaleNormal="100" workbookViewId="0">
      <selection activeCell="U44" sqref="U44:Z44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2" t="s">
        <v>191</v>
      </c>
      <c r="B8">
        <v>3</v>
      </c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1080</v>
      </c>
      <c r="L8" s="2"/>
      <c r="M8" s="2"/>
      <c r="N8" s="2">
        <f>K8+L8-M8</f>
        <v>1080</v>
      </c>
      <c r="O8" s="2" t="s">
        <v>27</v>
      </c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3" t="s">
        <v>192</v>
      </c>
      <c r="C9" s="2"/>
      <c r="D9" s="2"/>
      <c r="E9" s="2"/>
      <c r="F9" s="2"/>
      <c r="G9" s="2">
        <v>1</v>
      </c>
      <c r="H9" s="2">
        <v>2</v>
      </c>
      <c r="I9" s="2">
        <v>1</v>
      </c>
      <c r="J9" s="2"/>
      <c r="K9" s="2">
        <f t="shared" si="0"/>
        <v>360</v>
      </c>
      <c r="L9" s="2"/>
      <c r="M9" s="2"/>
      <c r="N9" s="2">
        <f t="shared" ref="N9:N72" si="1">K9+L9-M9</f>
        <v>360</v>
      </c>
      <c r="O9" s="2" t="s">
        <v>27</v>
      </c>
      <c r="P9" s="3" t="s">
        <v>251</v>
      </c>
      <c r="R9" s="214" t="s">
        <v>32</v>
      </c>
      <c r="S9" s="214"/>
      <c r="T9" s="1" t="s">
        <v>22</v>
      </c>
      <c r="U9" s="244">
        <f>SUMIF(表格1_334515253545556[欄1],"&lt;&gt;公關品",表格1_334515253545556[運費])</f>
        <v>800</v>
      </c>
      <c r="V9" s="244"/>
      <c r="W9" s="2"/>
      <c r="X9" s="1" t="s">
        <v>109</v>
      </c>
      <c r="Y9" s="213">
        <f>INDEX('8'!Y12:Z13,1,1)</f>
        <v>5904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林祥睿：8360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 t="s">
        <v>210</v>
      </c>
      <c r="B10" s="2">
        <v>12</v>
      </c>
      <c r="C10" s="2"/>
      <c r="D10" s="2"/>
      <c r="E10" s="2"/>
      <c r="F10" s="2"/>
      <c r="G10" s="2"/>
      <c r="H10" s="2"/>
      <c r="I10" s="2"/>
      <c r="J10" s="2"/>
      <c r="K10" s="2">
        <f t="shared" si="0"/>
        <v>4320</v>
      </c>
      <c r="L10" s="2"/>
      <c r="M10" s="2">
        <v>360</v>
      </c>
      <c r="N10" s="2">
        <f t="shared" si="1"/>
        <v>3960</v>
      </c>
      <c r="O10" s="2" t="s">
        <v>27</v>
      </c>
      <c r="P10" s="3"/>
      <c r="R10" s="241">
        <f>SUM(K8:K101)-V15</f>
        <v>21960</v>
      </c>
      <c r="S10" s="241"/>
      <c r="T10" s="1" t="s">
        <v>13</v>
      </c>
      <c r="U10" s="245">
        <f>SUM(M8:M101)</f>
        <v>2160</v>
      </c>
      <c r="V10" s="245"/>
      <c r="W10" s="2"/>
      <c r="X10" s="1" t="s">
        <v>110</v>
      </c>
      <c r="Y10" s="213">
        <f>U15</f>
        <v>8360</v>
      </c>
      <c r="Z10" s="213"/>
    </row>
    <row r="11" spans="1:30">
      <c r="A11" s="78" t="s">
        <v>118</v>
      </c>
      <c r="B11">
        <v>5</v>
      </c>
      <c r="C11" s="2"/>
      <c r="D11" s="2"/>
      <c r="E11" s="2"/>
      <c r="F11" s="2"/>
      <c r="G11" s="2"/>
      <c r="H11" s="2"/>
      <c r="I11" s="2"/>
      <c r="J11" s="2"/>
      <c r="K11" s="2">
        <f t="shared" si="0"/>
        <v>1800</v>
      </c>
      <c r="L11" s="2"/>
      <c r="M11" s="2"/>
      <c r="N11" s="2">
        <f t="shared" si="1"/>
        <v>1800</v>
      </c>
      <c r="O11" s="2" t="s">
        <v>25</v>
      </c>
      <c r="P11" t="s">
        <v>212</v>
      </c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8" t="s">
        <v>118</v>
      </c>
      <c r="B12" s="80">
        <v>2</v>
      </c>
      <c r="C12" s="2"/>
      <c r="D12" s="2"/>
      <c r="E12" s="2"/>
      <c r="F12" s="2"/>
      <c r="G12" s="2"/>
      <c r="H12" s="2"/>
      <c r="I12" s="2"/>
      <c r="J12" s="2"/>
      <c r="K12" s="2">
        <f t="shared" si="0"/>
        <v>720</v>
      </c>
      <c r="L12" s="2">
        <v>160</v>
      </c>
      <c r="M12" s="2"/>
      <c r="N12" s="2">
        <f t="shared" si="1"/>
        <v>880</v>
      </c>
      <c r="O12" s="76" t="s">
        <v>25</v>
      </c>
      <c r="P12" s="80" t="s">
        <v>213</v>
      </c>
      <c r="R12" s="243">
        <f>R10-U10-U11</f>
        <v>19800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14264</v>
      </c>
      <c r="Z12" s="213"/>
    </row>
    <row r="13" spans="1:30" ht="15" customHeight="1">
      <c r="A13" s="78" t="s">
        <v>118</v>
      </c>
      <c r="B13" s="81">
        <v>4</v>
      </c>
      <c r="C13" s="2"/>
      <c r="D13" s="2"/>
      <c r="E13" s="2"/>
      <c r="F13" s="2"/>
      <c r="G13" s="2"/>
      <c r="H13" s="2"/>
      <c r="I13" s="2"/>
      <c r="J13" s="2"/>
      <c r="K13" s="2">
        <f t="shared" si="0"/>
        <v>1440</v>
      </c>
      <c r="L13" s="76"/>
      <c r="M13" s="2"/>
      <c r="N13" s="2">
        <f t="shared" si="1"/>
        <v>1440</v>
      </c>
      <c r="O13" s="76" t="s">
        <v>25</v>
      </c>
      <c r="P13" s="81" t="s">
        <v>214</v>
      </c>
      <c r="R13" s="243"/>
      <c r="S13" s="243"/>
      <c r="T13" s="1" t="s">
        <v>28</v>
      </c>
      <c r="U13" s="1">
        <f>SUMIF(O8:O101,"匯款",N8:N101)</f>
        <v>11880</v>
      </c>
      <c r="V13" s="1"/>
      <c r="W13" s="2"/>
      <c r="X13" s="214"/>
      <c r="Y13" s="213"/>
      <c r="Z13" s="213"/>
    </row>
    <row r="14" spans="1:30" ht="15" customHeight="1">
      <c r="A14" s="78" t="s">
        <v>118</v>
      </c>
      <c r="B14">
        <v>2</v>
      </c>
      <c r="C14" s="2"/>
      <c r="D14" s="2"/>
      <c r="E14" s="2"/>
      <c r="F14" s="2"/>
      <c r="G14" s="2"/>
      <c r="H14" s="2"/>
      <c r="I14" s="2"/>
      <c r="J14" s="2"/>
      <c r="K14" s="2">
        <f t="shared" si="0"/>
        <v>720</v>
      </c>
      <c r="L14" s="76">
        <v>160</v>
      </c>
      <c r="M14" s="2">
        <v>360</v>
      </c>
      <c r="N14" s="2">
        <f t="shared" si="1"/>
        <v>520</v>
      </c>
      <c r="O14" s="76" t="s">
        <v>25</v>
      </c>
      <c r="P14" t="s">
        <v>215</v>
      </c>
      <c r="R14" s="243"/>
      <c r="S14" s="243"/>
      <c r="T14" s="1" t="s">
        <v>30</v>
      </c>
      <c r="U14" s="1">
        <f>SUMIF(O8:O102,"現金",N8:N102)</f>
        <v>360</v>
      </c>
      <c r="V14" s="1"/>
      <c r="W14" s="2"/>
      <c r="X14" s="2"/>
      <c r="Y14" s="2"/>
      <c r="Z14" s="3"/>
    </row>
    <row r="15" spans="1:30" ht="15" customHeight="1">
      <c r="A15" s="78" t="s">
        <v>118</v>
      </c>
      <c r="B15">
        <v>2</v>
      </c>
      <c r="C15" s="2"/>
      <c r="D15" s="2"/>
      <c r="E15" s="2"/>
      <c r="F15" s="2"/>
      <c r="G15" s="2"/>
      <c r="H15" s="2"/>
      <c r="I15" s="2"/>
      <c r="J15" s="2"/>
      <c r="K15" s="2">
        <f t="shared" si="0"/>
        <v>720</v>
      </c>
      <c r="L15" s="76">
        <v>160</v>
      </c>
      <c r="M15" s="2"/>
      <c r="N15" s="2">
        <f t="shared" si="1"/>
        <v>880</v>
      </c>
      <c r="O15" s="76" t="s">
        <v>25</v>
      </c>
      <c r="P15" t="s">
        <v>216</v>
      </c>
      <c r="R15" s="243"/>
      <c r="S15" s="243"/>
      <c r="T15" s="1" t="s">
        <v>26</v>
      </c>
      <c r="U15" s="1">
        <f>SUMIF(O8:O102,"未結帳款",N8:N103)</f>
        <v>8360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78" t="s">
        <v>118</v>
      </c>
      <c r="B16">
        <v>2</v>
      </c>
      <c r="C16" s="2"/>
      <c r="D16" s="2"/>
      <c r="E16" s="2"/>
      <c r="F16" s="2"/>
      <c r="G16" s="2"/>
      <c r="H16" s="2"/>
      <c r="I16" s="2"/>
      <c r="J16" s="2"/>
      <c r="K16" s="2">
        <f t="shared" si="0"/>
        <v>720</v>
      </c>
      <c r="L16" s="76">
        <v>160</v>
      </c>
      <c r="M16" s="2"/>
      <c r="N16" s="2">
        <f t="shared" si="1"/>
        <v>880</v>
      </c>
      <c r="O16" s="76" t="s">
        <v>25</v>
      </c>
      <c r="P16" t="s">
        <v>217</v>
      </c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8" t="s">
        <v>118</v>
      </c>
      <c r="B17">
        <v>2</v>
      </c>
      <c r="C17" s="2"/>
      <c r="D17" s="2"/>
      <c r="E17" s="2"/>
      <c r="F17" s="2"/>
      <c r="G17" s="2"/>
      <c r="H17" s="2"/>
      <c r="I17" s="2"/>
      <c r="J17" s="2"/>
      <c r="K17" s="2">
        <f t="shared" si="0"/>
        <v>720</v>
      </c>
      <c r="L17" s="76">
        <v>160</v>
      </c>
      <c r="M17" s="2"/>
      <c r="N17" s="2">
        <f t="shared" si="1"/>
        <v>880</v>
      </c>
      <c r="O17" s="76" t="s">
        <v>25</v>
      </c>
      <c r="P17" t="s">
        <v>218</v>
      </c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800</v>
      </c>
      <c r="Z17" s="218"/>
    </row>
    <row r="18" spans="1:29">
      <c r="A18" s="78" t="s">
        <v>118</v>
      </c>
      <c r="B18">
        <v>3</v>
      </c>
      <c r="C18" s="2"/>
      <c r="D18" s="2"/>
      <c r="E18" s="2"/>
      <c r="F18" s="2"/>
      <c r="G18" s="2"/>
      <c r="H18" s="2"/>
      <c r="I18" s="2"/>
      <c r="J18" s="2"/>
      <c r="K18" s="2">
        <f t="shared" si="0"/>
        <v>1080</v>
      </c>
      <c r="L18" s="2"/>
      <c r="M18" s="2"/>
      <c r="N18" s="2">
        <f t="shared" si="1"/>
        <v>1080</v>
      </c>
      <c r="O18" s="76" t="s">
        <v>25</v>
      </c>
      <c r="P18" t="s">
        <v>219</v>
      </c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>
        <v>2050</v>
      </c>
      <c r="Z18" s="218"/>
    </row>
    <row r="19" spans="1:29">
      <c r="A19" s="78" t="s">
        <v>189</v>
      </c>
      <c r="B19" s="2">
        <v>22</v>
      </c>
      <c r="C19" s="2"/>
      <c r="D19" s="2"/>
      <c r="E19" s="2"/>
      <c r="F19" s="2"/>
      <c r="G19" s="2"/>
      <c r="H19" s="2"/>
      <c r="I19" s="2"/>
      <c r="J19" s="2"/>
      <c r="K19" s="2">
        <f t="shared" si="0"/>
        <v>7920</v>
      </c>
      <c r="L19" s="2"/>
      <c r="M19" s="2">
        <v>1440</v>
      </c>
      <c r="N19" s="2">
        <f t="shared" si="1"/>
        <v>6480</v>
      </c>
      <c r="O19" s="2" t="s">
        <v>27</v>
      </c>
      <c r="P19" s="3"/>
      <c r="R19" s="204" t="s">
        <v>17</v>
      </c>
      <c r="S19" s="2" t="s">
        <v>3</v>
      </c>
      <c r="T19" s="2">
        <f ca="1">SUMIF(P8:P102,"&lt;&gt;公關品",B8:B100)</f>
        <v>59</v>
      </c>
      <c r="U19" s="2">
        <f ca="1">SUMIF(P8:P102,"公關品",B8:B100)</f>
        <v>0</v>
      </c>
      <c r="V19" s="15">
        <f ca="1">SUM(T19:T23,U19)</f>
        <v>59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 t="s">
        <v>49</v>
      </c>
      <c r="B20" s="2"/>
      <c r="C20" s="2"/>
      <c r="D20" s="2"/>
      <c r="E20" s="2"/>
      <c r="F20" s="2"/>
      <c r="G20" s="2"/>
      <c r="H20" s="2">
        <v>1</v>
      </c>
      <c r="I20" s="2">
        <v>2</v>
      </c>
      <c r="J20" s="2">
        <v>1</v>
      </c>
      <c r="K20" s="2">
        <f t="shared" si="0"/>
        <v>360</v>
      </c>
      <c r="L20" s="2"/>
      <c r="M20" s="2"/>
      <c r="N20" s="2">
        <f t="shared" si="1"/>
        <v>360</v>
      </c>
      <c r="O20" s="2" t="s">
        <v>29</v>
      </c>
      <c r="P20" s="3" t="s">
        <v>258</v>
      </c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-1250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1</v>
      </c>
      <c r="U24" s="2">
        <f ca="1">SUMIF(P8:P102,"公關品",G8:G100)</f>
        <v>0</v>
      </c>
      <c r="V24" s="2">
        <f ca="1">T19+(T20*4)+T24</f>
        <v>60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3</v>
      </c>
      <c r="U25" s="2">
        <f ca="1">SUMIF(P8:P102,"公關品",I8:I100)</f>
        <v>0</v>
      </c>
      <c r="V25" s="2">
        <f ca="1">T19+(T21*4)+T25</f>
        <v>62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3</v>
      </c>
      <c r="U26" s="2">
        <f ca="1">SUMIF(P8:P102,"公關品",I8:I100)</f>
        <v>0</v>
      </c>
      <c r="V26" s="2">
        <f ca="1">T19+(T22*4)+T26</f>
        <v>62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1</v>
      </c>
      <c r="U27" s="9">
        <f ca="1">SUMIF(P9:P103,"公關品",J8:J100)</f>
        <v>0</v>
      </c>
      <c r="V27" s="9">
        <f ca="1">T19+(T23*4)+T27</f>
        <v>60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'8'!Y33</f>
        <v>20</v>
      </c>
      <c r="T33" s="2"/>
      <c r="U33" s="2">
        <v>46</v>
      </c>
      <c r="V33" s="2">
        <f>SUMIF(R40:R55,"原味",S40:S55)</f>
        <v>6</v>
      </c>
      <c r="W33" s="114">
        <f ca="1">V24+U24+U19+U20*4</f>
        <v>60</v>
      </c>
      <c r="X33" s="114"/>
      <c r="Y33" s="13">
        <f ca="1">S33+U33-V33-W33</f>
        <v>0</v>
      </c>
      <c r="Z33" s="28">
        <f ca="1">IFERROR((V33/(U33+S33))," ")</f>
        <v>9.0909090909090912E-2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'8'!Y34</f>
        <v>29</v>
      </c>
      <c r="T34" s="2"/>
      <c r="U34" s="2">
        <v>45</v>
      </c>
      <c r="V34" s="2">
        <f>SUMIF(R41:R55,"可可",S41:S55)</f>
        <v>1</v>
      </c>
      <c r="W34" s="114">
        <f ca="1">V25+U25+U19+U21*4</f>
        <v>62</v>
      </c>
      <c r="X34" s="114"/>
      <c r="Y34" s="13">
        <f ca="1">S34+U34-V34-W34</f>
        <v>11</v>
      </c>
      <c r="Z34" s="28">
        <f ca="1">IFERROR((V34/(U34+S34))," ")</f>
        <v>1.3513513513513514E-2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'8'!Y35</f>
        <v>11</v>
      </c>
      <c r="T35" s="2"/>
      <c r="U35" s="2">
        <v>62</v>
      </c>
      <c r="V35" s="2">
        <f>SUMIF(R41:R55,"伯爵",S41:S55)</f>
        <v>1</v>
      </c>
      <c r="W35" s="114">
        <f ca="1">V26+U26+U19+U22*4</f>
        <v>62</v>
      </c>
      <c r="X35" s="114"/>
      <c r="Y35" s="13">
        <f ca="1">S35+U35-V35-W35</f>
        <v>10</v>
      </c>
      <c r="Z35" s="28">
        <f ca="1">IFERROR((V35/(U35+S35))," ")</f>
        <v>1.3698630136986301E-2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'8'!Y36</f>
        <v>28</v>
      </c>
      <c r="T36" s="2"/>
      <c r="U36" s="30">
        <v>46</v>
      </c>
      <c r="V36" s="2">
        <f>SUMIF(R41:R55,"抹茶",S41:S55)</f>
        <v>1</v>
      </c>
      <c r="W36" s="114">
        <f ca="1">V27+U27+U19+U23*4</f>
        <v>60</v>
      </c>
      <c r="X36" s="114"/>
      <c r="Y36" s="13">
        <f ca="1">S36+U36-V36-W36</f>
        <v>13</v>
      </c>
      <c r="Z36" s="28">
        <f ca="1">IFERROR((V36/(U36+S36))," ")</f>
        <v>1.3513513513513514E-2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 t="s">
        <v>68</v>
      </c>
      <c r="S41" s="2">
        <v>6</v>
      </c>
      <c r="T41" s="15" t="s">
        <v>99</v>
      </c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 t="s">
        <v>70</v>
      </c>
      <c r="S42" s="2">
        <v>1</v>
      </c>
      <c r="T42" s="15" t="s">
        <v>102</v>
      </c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 t="s">
        <v>69</v>
      </c>
      <c r="S43">
        <v>1</v>
      </c>
      <c r="T43" s="15" t="s">
        <v>99</v>
      </c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 t="s">
        <v>71</v>
      </c>
      <c r="S46" s="30">
        <v>1</v>
      </c>
      <c r="T46" s="15" t="s">
        <v>100</v>
      </c>
      <c r="U46" s="182" t="s">
        <v>101</v>
      </c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T41:T55" xr:uid="{8BDDBFC1-76A9-EE44-847F-F87AEB29A581}">
      <formula1>"技術,人為,過期,吃掉"</formula1>
    </dataValidation>
    <dataValidation type="list" allowBlank="1" showInputMessage="1" showErrorMessage="1" sqref="R41:R55" xr:uid="{960D71C8-4E78-174D-ACAB-6C24B5AC4106}">
      <formula1>$R$33:$R$36</formula1>
    </dataValidation>
    <dataValidation type="list" allowBlank="1" showInputMessage="1" showErrorMessage="1" sqref="O8:O101" xr:uid="{CCB4F21B-9D7A-6E4D-97C7-F01843C9CBD6}">
      <formula1>$T$13:$T$15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C8E19-DA65-8944-A09B-9475C6C8A975}">
  <sheetPr codeName="工作表12"/>
  <dimension ref="A1:AD101"/>
  <sheetViews>
    <sheetView tabSelected="1" zoomScale="89" zoomScaleNormal="100" workbookViewId="0">
      <selection activeCell="O22" sqref="O2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1" max="11" width="10.83203125" style="88"/>
    <col min="12" max="12" width="7.33203125" customWidth="1"/>
    <col min="13" max="13" width="11.33203125" customWidth="1"/>
    <col min="14" max="14" width="11.33203125" style="88" customWidth="1"/>
    <col min="15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85"/>
      <c r="L4" s="5"/>
      <c r="M4" s="5"/>
      <c r="N4" s="8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86" t="s">
        <v>15</v>
      </c>
      <c r="L7" s="2" t="s">
        <v>22</v>
      </c>
      <c r="M7" s="2" t="s">
        <v>14</v>
      </c>
      <c r="N7" s="86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 t="s">
        <v>200</v>
      </c>
      <c r="B8" s="2"/>
      <c r="C8" s="2"/>
      <c r="D8" s="2"/>
      <c r="E8" s="2"/>
      <c r="F8" s="2"/>
      <c r="G8" s="2">
        <v>1</v>
      </c>
      <c r="H8" s="2"/>
      <c r="I8" s="2">
        <v>1</v>
      </c>
      <c r="J8" s="2">
        <v>2</v>
      </c>
      <c r="K8" s="86">
        <f t="shared" ref="K8:K71" si="0">SUM(SUM(B8:F8)*360,SUM(G8:J8)*90)</f>
        <v>360</v>
      </c>
      <c r="L8" s="2"/>
      <c r="M8" s="2"/>
      <c r="N8" s="86">
        <f>K8+L8-M8</f>
        <v>360</v>
      </c>
      <c r="O8" s="2" t="s">
        <v>29</v>
      </c>
      <c r="P8" s="3" t="s">
        <v>201</v>
      </c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8" t="s">
        <v>118</v>
      </c>
      <c r="B9">
        <v>2</v>
      </c>
      <c r="C9" s="2"/>
      <c r="D9" s="2"/>
      <c r="E9" s="2"/>
      <c r="F9" s="2"/>
      <c r="G9" s="2"/>
      <c r="H9" s="2"/>
      <c r="I9" s="2"/>
      <c r="J9" s="2"/>
      <c r="K9" s="86">
        <f t="shared" si="0"/>
        <v>720</v>
      </c>
      <c r="L9" s="2">
        <v>160</v>
      </c>
      <c r="M9" s="2"/>
      <c r="N9" s="86">
        <f t="shared" ref="N9:N72" si="1">K9+L9-M9</f>
        <v>880</v>
      </c>
      <c r="O9" s="2" t="s">
        <v>25</v>
      </c>
      <c r="P9" t="s">
        <v>221</v>
      </c>
      <c r="R9" s="214" t="s">
        <v>32</v>
      </c>
      <c r="S9" s="214"/>
      <c r="T9" s="1" t="s">
        <v>22</v>
      </c>
      <c r="U9" s="244">
        <f>SUMIF(表格1_33451525354555657[欄1],"&lt;&gt;公關品",表格1_33451525354555657[運費])</f>
        <v>2240</v>
      </c>
      <c r="V9" s="244"/>
      <c r="W9" s="2"/>
      <c r="X9" s="1" t="s">
        <v>109</v>
      </c>
      <c r="Y9" s="213">
        <f>INDEX('9'!Y12:Z13,1,1)</f>
        <v>14264</v>
      </c>
      <c r="Z9" s="213"/>
      <c r="AB9" t="str" cm="1">
        <f t="array" ref="AB9:AB11">_xlfn.LET(_xlpm.unpaid,_xlfn.UNIQUE(_xlfn._xlws.FILTER(A8:A100,O8:O100="未結帳款","今日無欠款")),IF(_xlpm.unpaid="今日無欠款","今日無欠款",_xlpm.unpaid&amp;"："&amp;SUMIFS(N8:N100,A8:A100,_xlpm.unpaid,O8:O100,"未結帳款")))</f>
        <v>林祥睿：16120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8" t="s">
        <v>118</v>
      </c>
      <c r="B10">
        <v>1</v>
      </c>
      <c r="C10" s="2"/>
      <c r="D10" s="2"/>
      <c r="E10" s="2"/>
      <c r="F10" s="2"/>
      <c r="G10" s="2"/>
      <c r="H10" s="2"/>
      <c r="I10" s="2"/>
      <c r="J10" s="2"/>
      <c r="K10" s="86">
        <f t="shared" si="0"/>
        <v>360</v>
      </c>
      <c r="L10" s="76">
        <v>160</v>
      </c>
      <c r="M10" s="2"/>
      <c r="N10" s="86">
        <f t="shared" si="1"/>
        <v>520</v>
      </c>
      <c r="O10" s="76" t="s">
        <v>25</v>
      </c>
      <c r="P10" t="s">
        <v>222</v>
      </c>
      <c r="R10" s="241">
        <f>SUM(K8:K101)-V15</f>
        <v>16920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17720</v>
      </c>
      <c r="Z10" s="213"/>
      <c r="AB10" t="str">
        <v>吳宜亭：880</v>
      </c>
    </row>
    <row r="11" spans="1:30">
      <c r="A11" s="78" t="s">
        <v>118</v>
      </c>
      <c r="B11">
        <v>1</v>
      </c>
      <c r="C11" s="2"/>
      <c r="D11" s="2"/>
      <c r="E11" s="2"/>
      <c r="F11" s="2"/>
      <c r="G11" s="2"/>
      <c r="H11" s="2"/>
      <c r="I11" s="2"/>
      <c r="J11" s="2"/>
      <c r="K11" s="86">
        <f t="shared" si="0"/>
        <v>360</v>
      </c>
      <c r="L11" s="76">
        <v>160</v>
      </c>
      <c r="M11" s="2"/>
      <c r="N11" s="86">
        <f t="shared" si="1"/>
        <v>520</v>
      </c>
      <c r="O11" s="76" t="s">
        <v>25</v>
      </c>
      <c r="P11" t="s">
        <v>223</v>
      </c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  <c r="AB11" t="str">
        <v>李泓陞：720</v>
      </c>
    </row>
    <row r="12" spans="1:30" ht="15" customHeight="1">
      <c r="A12" s="78" t="s">
        <v>118</v>
      </c>
      <c r="B12">
        <v>1</v>
      </c>
      <c r="C12" s="2"/>
      <c r="D12" s="2"/>
      <c r="E12" s="2"/>
      <c r="F12" s="2"/>
      <c r="G12" s="2"/>
      <c r="H12" s="2"/>
      <c r="I12" s="2"/>
      <c r="J12" s="2"/>
      <c r="K12" s="86">
        <f t="shared" si="0"/>
        <v>360</v>
      </c>
      <c r="L12" s="76">
        <v>160</v>
      </c>
      <c r="M12" s="2"/>
      <c r="N12" s="86">
        <f t="shared" si="1"/>
        <v>520</v>
      </c>
      <c r="O12" s="76" t="s">
        <v>25</v>
      </c>
      <c r="P12" t="s">
        <v>224</v>
      </c>
      <c r="R12" s="243">
        <f>R10-U10-U11</f>
        <v>16920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8" t="s">
        <v>118</v>
      </c>
      <c r="B13">
        <v>1</v>
      </c>
      <c r="C13" s="2"/>
      <c r="D13" s="2"/>
      <c r="E13" s="2"/>
      <c r="F13" s="2"/>
      <c r="G13" s="2"/>
      <c r="H13" s="2"/>
      <c r="I13" s="2"/>
      <c r="J13" s="2"/>
      <c r="K13" s="86">
        <f t="shared" si="0"/>
        <v>360</v>
      </c>
      <c r="L13" s="76">
        <v>160</v>
      </c>
      <c r="M13" s="2"/>
      <c r="N13" s="86">
        <f t="shared" si="1"/>
        <v>520</v>
      </c>
      <c r="O13" s="76" t="s">
        <v>25</v>
      </c>
      <c r="P13" t="s">
        <v>225</v>
      </c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8" t="s">
        <v>118</v>
      </c>
      <c r="B14">
        <v>3</v>
      </c>
      <c r="C14" s="2"/>
      <c r="D14" s="2"/>
      <c r="E14" s="2"/>
      <c r="F14" s="2"/>
      <c r="G14" s="2"/>
      <c r="H14" s="2"/>
      <c r="I14" s="2"/>
      <c r="J14" s="2"/>
      <c r="K14" s="86">
        <f t="shared" si="0"/>
        <v>1080</v>
      </c>
      <c r="L14" s="2"/>
      <c r="M14" s="2"/>
      <c r="N14" s="86">
        <f t="shared" si="1"/>
        <v>1080</v>
      </c>
      <c r="O14" s="76" t="s">
        <v>25</v>
      </c>
      <c r="P14" t="s">
        <v>226</v>
      </c>
      <c r="R14" s="243"/>
      <c r="S14" s="243"/>
      <c r="T14" s="1" t="s">
        <v>30</v>
      </c>
      <c r="U14" s="1">
        <f>SUMIF(O8:O102,"現金",N8:N102)</f>
        <v>1440</v>
      </c>
      <c r="V14" s="1"/>
      <c r="W14" s="2"/>
      <c r="X14" s="2"/>
      <c r="Y14" s="2"/>
      <c r="Z14" s="3"/>
    </row>
    <row r="15" spans="1:30" ht="15" customHeight="1">
      <c r="A15" s="78" t="s">
        <v>118</v>
      </c>
      <c r="B15">
        <v>3</v>
      </c>
      <c r="C15" s="2"/>
      <c r="D15" s="2"/>
      <c r="E15" s="2"/>
      <c r="F15" s="2"/>
      <c r="G15" s="2"/>
      <c r="H15" s="2"/>
      <c r="I15" s="2"/>
      <c r="J15" s="2"/>
      <c r="K15" s="86">
        <f t="shared" si="0"/>
        <v>1080</v>
      </c>
      <c r="L15" s="2"/>
      <c r="M15" s="2"/>
      <c r="N15" s="86">
        <f t="shared" si="1"/>
        <v>1080</v>
      </c>
      <c r="O15" s="76" t="s">
        <v>25</v>
      </c>
      <c r="P15" t="s">
        <v>227</v>
      </c>
      <c r="R15" s="243"/>
      <c r="S15" s="243"/>
      <c r="T15" s="1" t="s">
        <v>26</v>
      </c>
      <c r="U15" s="1">
        <f>SUMIF(O8:O102,"未結帳款",N8:N103)</f>
        <v>17720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78" t="s">
        <v>118</v>
      </c>
      <c r="B16">
        <v>2</v>
      </c>
      <c r="C16" s="2"/>
      <c r="D16" s="2"/>
      <c r="E16" s="2"/>
      <c r="F16" s="2"/>
      <c r="G16" s="2"/>
      <c r="H16" s="2"/>
      <c r="I16" s="2"/>
      <c r="J16" s="2"/>
      <c r="K16" s="86">
        <f t="shared" si="0"/>
        <v>720</v>
      </c>
      <c r="L16" s="2">
        <v>160</v>
      </c>
      <c r="M16" s="2"/>
      <c r="N16" s="86">
        <f t="shared" si="1"/>
        <v>880</v>
      </c>
      <c r="O16" s="76" t="s">
        <v>25</v>
      </c>
      <c r="P16" t="s">
        <v>228</v>
      </c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8" t="s">
        <v>118</v>
      </c>
      <c r="B17">
        <v>2</v>
      </c>
      <c r="C17" s="2"/>
      <c r="D17" s="2"/>
      <c r="E17" s="2"/>
      <c r="F17" s="2"/>
      <c r="G17" s="2"/>
      <c r="H17" s="2"/>
      <c r="I17" s="2"/>
      <c r="J17" s="2"/>
      <c r="K17" s="86">
        <f t="shared" si="0"/>
        <v>720</v>
      </c>
      <c r="L17" s="76">
        <v>160</v>
      </c>
      <c r="M17" s="2"/>
      <c r="N17" s="86">
        <f t="shared" si="1"/>
        <v>880</v>
      </c>
      <c r="O17" s="76" t="s">
        <v>25</v>
      </c>
      <c r="P17" t="s">
        <v>229</v>
      </c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2240</v>
      </c>
      <c r="Z17" s="218"/>
    </row>
    <row r="18" spans="1:29">
      <c r="A18" s="78" t="s">
        <v>118</v>
      </c>
      <c r="B18">
        <v>2</v>
      </c>
      <c r="C18" s="2"/>
      <c r="D18" s="2"/>
      <c r="E18" s="2"/>
      <c r="F18" s="2"/>
      <c r="G18" s="2"/>
      <c r="H18" s="2"/>
      <c r="I18" s="2"/>
      <c r="J18" s="2"/>
      <c r="K18" s="86">
        <f t="shared" si="0"/>
        <v>720</v>
      </c>
      <c r="L18" s="76">
        <v>160</v>
      </c>
      <c r="M18" s="2"/>
      <c r="N18" s="86">
        <f t="shared" si="1"/>
        <v>880</v>
      </c>
      <c r="O18" s="76" t="s">
        <v>25</v>
      </c>
      <c r="P18" t="s">
        <v>230</v>
      </c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>
        <v>3009</v>
      </c>
      <c r="Z18" s="218"/>
    </row>
    <row r="19" spans="1:29">
      <c r="A19" s="78" t="s">
        <v>118</v>
      </c>
      <c r="B19">
        <v>2</v>
      </c>
      <c r="C19" s="2"/>
      <c r="D19" s="2"/>
      <c r="E19" s="2"/>
      <c r="F19" s="2"/>
      <c r="G19" s="2"/>
      <c r="H19" s="2"/>
      <c r="I19" s="2"/>
      <c r="J19" s="2"/>
      <c r="K19" s="86">
        <f t="shared" si="0"/>
        <v>720</v>
      </c>
      <c r="L19" s="76">
        <v>160</v>
      </c>
      <c r="M19" s="2"/>
      <c r="N19" s="86">
        <f t="shared" si="1"/>
        <v>880</v>
      </c>
      <c r="O19" s="76" t="s">
        <v>25</v>
      </c>
      <c r="P19" t="s">
        <v>231</v>
      </c>
      <c r="R19" s="204" t="s">
        <v>17</v>
      </c>
      <c r="S19" s="2" t="s">
        <v>3</v>
      </c>
      <c r="T19" s="2">
        <f ca="1">SUMIF(P8:P102,"&lt;&gt;公關品",B8:B100)</f>
        <v>41</v>
      </c>
      <c r="U19" s="2">
        <f ca="1">SUMIF(P8:P102,"公關品",B8:B100)</f>
        <v>0</v>
      </c>
      <c r="V19" s="15">
        <f ca="1">SUM(T19:T23,U19)</f>
        <v>44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8" t="s">
        <v>118</v>
      </c>
      <c r="B20">
        <v>2</v>
      </c>
      <c r="C20" s="2"/>
      <c r="D20" s="2"/>
      <c r="E20" s="2"/>
      <c r="F20" s="2"/>
      <c r="G20" s="2"/>
      <c r="H20" s="2"/>
      <c r="I20" s="2"/>
      <c r="J20" s="2"/>
      <c r="K20" s="86">
        <f t="shared" si="0"/>
        <v>720</v>
      </c>
      <c r="L20" s="76">
        <v>160</v>
      </c>
      <c r="M20" s="2"/>
      <c r="N20" s="86">
        <f t="shared" si="1"/>
        <v>880</v>
      </c>
      <c r="O20" s="76" t="s">
        <v>25</v>
      </c>
      <c r="P20" t="s">
        <v>232</v>
      </c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8" t="s">
        <v>118</v>
      </c>
      <c r="B21">
        <v>3</v>
      </c>
      <c r="C21" s="2"/>
      <c r="D21" s="2"/>
      <c r="E21" s="2"/>
      <c r="F21" s="2"/>
      <c r="G21" s="2"/>
      <c r="H21" s="2"/>
      <c r="I21" s="2"/>
      <c r="J21" s="2"/>
      <c r="K21" s="86">
        <f t="shared" si="0"/>
        <v>1080</v>
      </c>
      <c r="L21" s="2"/>
      <c r="M21" s="2"/>
      <c r="N21" s="86">
        <f t="shared" si="1"/>
        <v>1080</v>
      </c>
      <c r="O21" s="76" t="s">
        <v>25</v>
      </c>
      <c r="P21" t="s">
        <v>233</v>
      </c>
      <c r="R21" s="204"/>
      <c r="S21" s="2" t="s">
        <v>5</v>
      </c>
      <c r="T21" s="2">
        <f ca="1">SUMIF(P8:P104,"&lt;&gt;公關品",D8:D102)</f>
        <v>1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-769</v>
      </c>
      <c r="Z21" s="248"/>
    </row>
    <row r="22" spans="1:29">
      <c r="A22" t="s">
        <v>256</v>
      </c>
      <c r="B22">
        <v>3</v>
      </c>
      <c r="C22" s="2"/>
      <c r="D22" s="2"/>
      <c r="E22" s="2"/>
      <c r="F22" s="2"/>
      <c r="G22" s="2"/>
      <c r="H22" s="2"/>
      <c r="I22" s="2"/>
      <c r="J22" s="2"/>
      <c r="K22" s="86">
        <f t="shared" si="0"/>
        <v>1080</v>
      </c>
      <c r="L22" s="2"/>
      <c r="M22" s="2"/>
      <c r="N22" s="86">
        <f t="shared" si="1"/>
        <v>1080</v>
      </c>
      <c r="O22" s="76" t="s">
        <v>29</v>
      </c>
      <c r="P22" t="s">
        <v>254</v>
      </c>
      <c r="R22" s="204"/>
      <c r="S22" s="2" t="s">
        <v>6</v>
      </c>
      <c r="T22" s="2">
        <f ca="1">SUMIF(P8:P102,"&lt;&gt;公關品",E8:E100)</f>
        <v>1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8" t="s">
        <v>118</v>
      </c>
      <c r="B23">
        <v>1</v>
      </c>
      <c r="C23" s="2"/>
      <c r="D23" s="2"/>
      <c r="E23" s="2"/>
      <c r="F23" s="2"/>
      <c r="G23" s="2"/>
      <c r="H23" s="2"/>
      <c r="I23" s="2"/>
      <c r="J23" s="2"/>
      <c r="K23" s="86">
        <f t="shared" si="0"/>
        <v>360</v>
      </c>
      <c r="L23" s="76">
        <v>160</v>
      </c>
      <c r="M23" s="2"/>
      <c r="N23" s="86">
        <f t="shared" si="1"/>
        <v>520</v>
      </c>
      <c r="O23" s="76" t="s">
        <v>25</v>
      </c>
      <c r="P23" t="s">
        <v>235</v>
      </c>
      <c r="R23" s="204"/>
      <c r="S23" s="2" t="s">
        <v>7</v>
      </c>
      <c r="T23" s="2">
        <f ca="1">SUMIF(P8:P102,"&lt;&gt;公關品",F8:F100)</f>
        <v>1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8" t="s">
        <v>118</v>
      </c>
      <c r="B24">
        <v>3</v>
      </c>
      <c r="C24" s="2"/>
      <c r="D24" s="2"/>
      <c r="E24" s="2"/>
      <c r="F24" s="2"/>
      <c r="G24" s="2"/>
      <c r="H24" s="2"/>
      <c r="I24" s="2"/>
      <c r="J24" s="2"/>
      <c r="K24" s="86">
        <f t="shared" si="0"/>
        <v>1080</v>
      </c>
      <c r="L24" s="2"/>
      <c r="M24" s="2"/>
      <c r="N24" s="86">
        <f t="shared" si="1"/>
        <v>1080</v>
      </c>
      <c r="O24" s="76" t="s">
        <v>25</v>
      </c>
      <c r="P24" t="s">
        <v>236</v>
      </c>
      <c r="R24" s="204" t="s">
        <v>18</v>
      </c>
      <c r="S24" s="2" t="s">
        <v>4</v>
      </c>
      <c r="T24" s="2">
        <f ca="1">SUMIF(P9:P103,"&lt;&gt;公關品",G8:G100)</f>
        <v>1</v>
      </c>
      <c r="U24" s="2">
        <f ca="1">SUMIF(P8:P102,"公關品",G8:G100)</f>
        <v>0</v>
      </c>
      <c r="V24" s="2">
        <f ca="1">T19+(T20*4)+T24</f>
        <v>42</v>
      </c>
      <c r="W24" s="2"/>
      <c r="X24" s="7" t="s">
        <v>103</v>
      </c>
      <c r="Y24" s="2"/>
      <c r="Z24" s="3"/>
    </row>
    <row r="25" spans="1:29">
      <c r="A25" s="78" t="s">
        <v>118</v>
      </c>
      <c r="B25" s="77">
        <v>1</v>
      </c>
      <c r="C25" s="2"/>
      <c r="D25" s="2"/>
      <c r="E25" s="2"/>
      <c r="F25" s="2"/>
      <c r="G25" s="2"/>
      <c r="H25" s="2"/>
      <c r="I25" s="2"/>
      <c r="J25" s="2"/>
      <c r="K25" s="86">
        <f t="shared" si="0"/>
        <v>360</v>
      </c>
      <c r="L25" s="2">
        <v>160</v>
      </c>
      <c r="M25" s="2"/>
      <c r="N25" s="86">
        <f t="shared" si="1"/>
        <v>520</v>
      </c>
      <c r="O25" s="76" t="s">
        <v>25</v>
      </c>
      <c r="P25" t="s">
        <v>237</v>
      </c>
      <c r="R25" s="204"/>
      <c r="S25" s="2" t="s">
        <v>5</v>
      </c>
      <c r="T25" s="2">
        <f ca="1">SUMIF(P8:P102,"&lt;&gt;公關品",H8:H100)</f>
        <v>2</v>
      </c>
      <c r="U25" s="2">
        <f ca="1">SUMIF(P8:P102,"公關品",I8:I100)</f>
        <v>0</v>
      </c>
      <c r="V25" s="2">
        <f ca="1">T19+(T21*4)+T25</f>
        <v>47</v>
      </c>
      <c r="W25" s="2"/>
      <c r="X25" s="7" t="s">
        <v>104</v>
      </c>
      <c r="Y25" s="2"/>
      <c r="Z25" s="3">
        <f>Y25*5</f>
        <v>0</v>
      </c>
    </row>
    <row r="26" spans="1:29">
      <c r="A26" s="78" t="s">
        <v>118</v>
      </c>
      <c r="B26">
        <v>1</v>
      </c>
      <c r="C26" s="2"/>
      <c r="D26" s="2"/>
      <c r="E26" s="2"/>
      <c r="F26" s="2"/>
      <c r="G26" s="2"/>
      <c r="H26" s="2"/>
      <c r="I26" s="2"/>
      <c r="J26" s="2"/>
      <c r="K26" s="86">
        <f t="shared" si="0"/>
        <v>360</v>
      </c>
      <c r="L26" s="76">
        <v>160</v>
      </c>
      <c r="M26" s="2"/>
      <c r="N26" s="86">
        <f t="shared" si="1"/>
        <v>520</v>
      </c>
      <c r="O26" s="76" t="s">
        <v>25</v>
      </c>
      <c r="P26" t="s">
        <v>220</v>
      </c>
      <c r="R26" s="204"/>
      <c r="S26" s="2" t="s">
        <v>6</v>
      </c>
      <c r="T26" s="2">
        <f ca="1">SUMIF(P9:P103,"&lt;&gt;公關品",I8:I100)</f>
        <v>4</v>
      </c>
      <c r="U26" s="2">
        <f ca="1">SUMIF(P8:P102,"公關品",I8:I100)</f>
        <v>0</v>
      </c>
      <c r="V26" s="2">
        <f ca="1">T19+(T22*4)+T26</f>
        <v>49</v>
      </c>
      <c r="W26" s="2"/>
      <c r="X26" s="7" t="s">
        <v>105</v>
      </c>
      <c r="Y26" s="2"/>
      <c r="Z26" s="3" t="s">
        <v>257</v>
      </c>
    </row>
    <row r="27" spans="1:29">
      <c r="A27" s="78" t="s">
        <v>118</v>
      </c>
      <c r="B27" s="82">
        <v>5</v>
      </c>
      <c r="C27" s="2"/>
      <c r="D27" s="2"/>
      <c r="E27" s="2"/>
      <c r="F27" s="2"/>
      <c r="G27" s="2"/>
      <c r="H27" s="2"/>
      <c r="I27" s="2"/>
      <c r="J27" s="2"/>
      <c r="K27" s="86">
        <f t="shared" si="0"/>
        <v>1800</v>
      </c>
      <c r="L27" s="2"/>
      <c r="M27" s="2"/>
      <c r="N27" s="86">
        <f t="shared" si="1"/>
        <v>1800</v>
      </c>
      <c r="O27" s="76" t="s">
        <v>25</v>
      </c>
      <c r="P27" t="s">
        <v>238</v>
      </c>
      <c r="R27" s="205"/>
      <c r="S27" s="9" t="s">
        <v>7</v>
      </c>
      <c r="T27" s="9">
        <f ca="1">SUMIF(P8:P102,"&lt;&gt;公關品",J8:J100)</f>
        <v>5</v>
      </c>
      <c r="U27" s="9">
        <f ca="1">SUMIF(P9:P103,"公關品",J8:J100)</f>
        <v>0</v>
      </c>
      <c r="V27" s="9">
        <f ca="1">T19+(T23*4)+T27</f>
        <v>50</v>
      </c>
      <c r="W27" s="9"/>
      <c r="X27" s="8" t="s">
        <v>76</v>
      </c>
      <c r="Y27" s="9"/>
      <c r="Z27" s="4"/>
    </row>
    <row r="28" spans="1:29">
      <c r="A28" s="78" t="s">
        <v>247</v>
      </c>
      <c r="B28" s="2">
        <v>2</v>
      </c>
      <c r="C28" s="2"/>
      <c r="D28" s="2"/>
      <c r="E28" s="2"/>
      <c r="F28" s="2"/>
      <c r="G28" s="2"/>
      <c r="H28" s="2"/>
      <c r="I28" s="2"/>
      <c r="J28" s="2"/>
      <c r="K28" s="86">
        <f t="shared" si="0"/>
        <v>720</v>
      </c>
      <c r="L28" s="2">
        <v>160</v>
      </c>
      <c r="M28" s="2"/>
      <c r="N28" s="86">
        <f t="shared" si="1"/>
        <v>880</v>
      </c>
      <c r="O28" s="76" t="s">
        <v>25</v>
      </c>
      <c r="P28" s="78" t="s">
        <v>255</v>
      </c>
    </row>
    <row r="29" spans="1:29">
      <c r="A29" s="78" t="s">
        <v>118</v>
      </c>
      <c r="B29" s="2"/>
      <c r="C29" s="2"/>
      <c r="D29" s="2">
        <v>1</v>
      </c>
      <c r="E29" s="2">
        <v>1</v>
      </c>
      <c r="F29" s="2">
        <v>1</v>
      </c>
      <c r="G29" s="2"/>
      <c r="H29" s="2"/>
      <c r="I29" s="2"/>
      <c r="J29" s="2"/>
      <c r="K29" s="86">
        <f t="shared" si="0"/>
        <v>1080</v>
      </c>
      <c r="L29" s="2"/>
      <c r="M29" s="2"/>
      <c r="N29" s="86">
        <f t="shared" si="1"/>
        <v>1080</v>
      </c>
      <c r="O29" s="2" t="s">
        <v>25</v>
      </c>
      <c r="P29" s="3"/>
    </row>
    <row r="30" spans="1:29" ht="15" customHeight="1">
      <c r="A30" s="72" t="s">
        <v>188</v>
      </c>
      <c r="B30" s="2"/>
      <c r="C30" s="2"/>
      <c r="D30" s="2"/>
      <c r="E30" s="2"/>
      <c r="F30" s="2"/>
      <c r="G30" s="2"/>
      <c r="H30" s="2">
        <v>2</v>
      </c>
      <c r="I30" s="2">
        <v>3</v>
      </c>
      <c r="J30" s="2">
        <v>3</v>
      </c>
      <c r="K30" s="86">
        <f t="shared" si="0"/>
        <v>720</v>
      </c>
      <c r="L30" s="2"/>
      <c r="M30" s="2"/>
      <c r="N30" s="86">
        <f t="shared" si="1"/>
        <v>720</v>
      </c>
      <c r="O30" s="2" t="s">
        <v>25</v>
      </c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86">
        <f t="shared" si="0"/>
        <v>0</v>
      </c>
      <c r="L31" s="2"/>
      <c r="M31" s="2"/>
      <c r="N31" s="86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86">
        <f t="shared" si="0"/>
        <v>0</v>
      </c>
      <c r="L32" s="2"/>
      <c r="M32" s="2"/>
      <c r="N32" s="86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86">
        <f t="shared" si="0"/>
        <v>0</v>
      </c>
      <c r="L33" s="2"/>
      <c r="M33" s="2"/>
      <c r="N33" s="86">
        <f t="shared" si="1"/>
        <v>0</v>
      </c>
      <c r="O33" s="2"/>
      <c r="P33" s="3"/>
      <c r="R33" s="7" t="s">
        <v>4</v>
      </c>
      <c r="S33" s="2">
        <f ca="1">'9'!Y33</f>
        <v>0</v>
      </c>
      <c r="T33" s="2"/>
      <c r="U33" s="2">
        <v>60</v>
      </c>
      <c r="V33" s="2">
        <f>SUMIF(R40:R55,"原味",S40:S55)</f>
        <v>18</v>
      </c>
      <c r="W33" s="114">
        <f ca="1">V24+U24+U19+U20*4</f>
        <v>42</v>
      </c>
      <c r="X33" s="114"/>
      <c r="Y33" s="13">
        <f ca="1">S33+U33-V33-W33</f>
        <v>0</v>
      </c>
      <c r="Z33" s="28">
        <f ca="1">IFERROR((V33/(U33+S33))," ")</f>
        <v>0.3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86">
        <f t="shared" si="0"/>
        <v>0</v>
      </c>
      <c r="L34" s="2"/>
      <c r="M34" s="2"/>
      <c r="N34" s="86">
        <f t="shared" si="1"/>
        <v>0</v>
      </c>
      <c r="O34" s="2"/>
      <c r="P34" s="3"/>
      <c r="R34" s="7" t="s">
        <v>5</v>
      </c>
      <c r="S34" s="2">
        <f ca="1">'9'!Y34</f>
        <v>11</v>
      </c>
      <c r="T34" s="2"/>
      <c r="U34" s="2">
        <v>46</v>
      </c>
      <c r="V34" s="2">
        <f>SUMIF(R41:R55,"可可",S41:S55)</f>
        <v>10</v>
      </c>
      <c r="W34" s="114">
        <f ca="1">V25+U25+U19+U21*4</f>
        <v>47</v>
      </c>
      <c r="X34" s="114"/>
      <c r="Y34" s="13">
        <f ca="1">S34+U34-V34-W34</f>
        <v>0</v>
      </c>
      <c r="Z34" s="28">
        <f ca="1">IFERROR((V34/(U34+S34))," ")</f>
        <v>0.17543859649122806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86">
        <f t="shared" si="0"/>
        <v>0</v>
      </c>
      <c r="L35" s="2"/>
      <c r="M35" s="2"/>
      <c r="N35" s="86">
        <f t="shared" si="1"/>
        <v>0</v>
      </c>
      <c r="O35" s="2"/>
      <c r="P35" s="3"/>
      <c r="R35" s="7" t="s">
        <v>6</v>
      </c>
      <c r="S35" s="2">
        <f ca="1">'9'!Y35</f>
        <v>10</v>
      </c>
      <c r="T35" s="2"/>
      <c r="U35" s="2">
        <v>46</v>
      </c>
      <c r="V35" s="2">
        <f>SUMIF(R41:R55,"伯爵",S41:S55)</f>
        <v>7</v>
      </c>
      <c r="W35" s="114">
        <f ca="1">V26+U26+U19+U22*4</f>
        <v>49</v>
      </c>
      <c r="X35" s="114"/>
      <c r="Y35" s="13">
        <f ca="1">S35+U35-V35-W35</f>
        <v>0</v>
      </c>
      <c r="Z35" s="28">
        <f ca="1">IFERROR((V35/(U35+S35))," ")</f>
        <v>0.125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86">
        <f t="shared" si="0"/>
        <v>0</v>
      </c>
      <c r="L36" s="2"/>
      <c r="M36" s="2"/>
      <c r="N36" s="86">
        <f t="shared" si="1"/>
        <v>0</v>
      </c>
      <c r="O36" s="2"/>
      <c r="P36" s="3"/>
      <c r="R36" s="7" t="s">
        <v>7</v>
      </c>
      <c r="S36" s="2">
        <f ca="1">'9'!Y36</f>
        <v>13</v>
      </c>
      <c r="T36" s="2"/>
      <c r="U36" s="30">
        <v>46</v>
      </c>
      <c r="V36" s="2">
        <f>SUMIF(R41:R55,"抹茶",S41:S55)</f>
        <v>9</v>
      </c>
      <c r="W36" s="114">
        <f ca="1">V27+U27+U19+U23*4</f>
        <v>50</v>
      </c>
      <c r="X36" s="114"/>
      <c r="Y36" s="13">
        <f ca="1">S36+U36-V36-W36</f>
        <v>0</v>
      </c>
      <c r="Z36" s="28">
        <f ca="1">IFERROR((V36/(U36+S36))," ")</f>
        <v>0.15254237288135594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86">
        <f t="shared" si="0"/>
        <v>0</v>
      </c>
      <c r="L37" s="2"/>
      <c r="M37" s="2"/>
      <c r="N37" s="86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86">
        <f t="shared" si="0"/>
        <v>0</v>
      </c>
      <c r="L38" s="2"/>
      <c r="M38" s="2"/>
      <c r="N38" s="86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86">
        <f t="shared" si="0"/>
        <v>0</v>
      </c>
      <c r="L39" s="2"/>
      <c r="M39" s="2"/>
      <c r="N39" s="86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86">
        <f t="shared" si="0"/>
        <v>0</v>
      </c>
      <c r="L40" s="2"/>
      <c r="M40" s="2"/>
      <c r="N40" s="86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86">
        <f t="shared" si="0"/>
        <v>0</v>
      </c>
      <c r="L41" s="2"/>
      <c r="M41" s="2"/>
      <c r="N41" s="86">
        <f t="shared" si="1"/>
        <v>0</v>
      </c>
      <c r="O41" s="2"/>
      <c r="P41" s="3"/>
      <c r="R41" s="7" t="s">
        <v>70</v>
      </c>
      <c r="S41" s="2">
        <v>2</v>
      </c>
      <c r="T41" s="15" t="s">
        <v>99</v>
      </c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86">
        <f t="shared" si="0"/>
        <v>0</v>
      </c>
      <c r="L42" s="2"/>
      <c r="M42" s="2"/>
      <c r="N42" s="86">
        <f t="shared" si="1"/>
        <v>0</v>
      </c>
      <c r="O42" s="2"/>
      <c r="P42" s="3"/>
      <c r="R42" s="7" t="s">
        <v>71</v>
      </c>
      <c r="S42" s="2">
        <v>2</v>
      </c>
      <c r="T42" s="15" t="s">
        <v>99</v>
      </c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86">
        <f t="shared" si="0"/>
        <v>0</v>
      </c>
      <c r="L43" s="2"/>
      <c r="M43" s="2"/>
      <c r="N43" s="86">
        <f t="shared" si="1"/>
        <v>0</v>
      </c>
      <c r="O43" s="2"/>
      <c r="P43" s="3"/>
      <c r="R43" s="7" t="s">
        <v>68</v>
      </c>
      <c r="S43">
        <v>2</v>
      </c>
      <c r="T43" s="15" t="s">
        <v>102</v>
      </c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86">
        <f t="shared" si="0"/>
        <v>0</v>
      </c>
      <c r="L44" s="2"/>
      <c r="M44" s="2"/>
      <c r="N44" s="86">
        <f t="shared" si="1"/>
        <v>0</v>
      </c>
      <c r="O44" s="2"/>
      <c r="P44" s="3"/>
      <c r="R44" s="7" t="s">
        <v>71</v>
      </c>
      <c r="S44" s="2">
        <v>1</v>
      </c>
      <c r="T44" s="15" t="s">
        <v>102</v>
      </c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86">
        <f t="shared" si="0"/>
        <v>0</v>
      </c>
      <c r="L45" s="2"/>
      <c r="M45" s="2"/>
      <c r="N45" s="86">
        <f t="shared" si="1"/>
        <v>0</v>
      </c>
      <c r="O45" s="2"/>
      <c r="P45" s="3"/>
      <c r="R45" s="7" t="s">
        <v>68</v>
      </c>
      <c r="S45" s="30">
        <v>16</v>
      </c>
      <c r="T45" s="15" t="s">
        <v>100</v>
      </c>
      <c r="U45" s="263" t="s">
        <v>259</v>
      </c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86">
        <f t="shared" si="0"/>
        <v>0</v>
      </c>
      <c r="L46" s="2"/>
      <c r="M46" s="2"/>
      <c r="N46" s="86">
        <f t="shared" si="1"/>
        <v>0</v>
      </c>
      <c r="O46" s="2"/>
      <c r="P46" s="3"/>
      <c r="R46" s="7" t="s">
        <v>69</v>
      </c>
      <c r="S46" s="30">
        <v>10</v>
      </c>
      <c r="T46" s="79" t="s">
        <v>100</v>
      </c>
      <c r="U46" s="263" t="s">
        <v>259</v>
      </c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86">
        <f t="shared" si="0"/>
        <v>0</v>
      </c>
      <c r="L47" s="2"/>
      <c r="M47" s="2"/>
      <c r="N47" s="86">
        <f t="shared" si="1"/>
        <v>0</v>
      </c>
      <c r="O47" s="2"/>
      <c r="P47" s="3"/>
      <c r="R47" s="7" t="s">
        <v>70</v>
      </c>
      <c r="S47" s="30">
        <v>5</v>
      </c>
      <c r="T47" s="79" t="s">
        <v>100</v>
      </c>
      <c r="U47" s="263" t="s">
        <v>259</v>
      </c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86">
        <f t="shared" si="0"/>
        <v>0</v>
      </c>
      <c r="L48" s="2"/>
      <c r="M48" s="2"/>
      <c r="N48" s="86">
        <f t="shared" si="1"/>
        <v>0</v>
      </c>
      <c r="O48" s="2"/>
      <c r="P48" s="3"/>
      <c r="R48" s="7" t="s">
        <v>71</v>
      </c>
      <c r="S48" s="30">
        <v>6</v>
      </c>
      <c r="T48" s="79" t="s">
        <v>100</v>
      </c>
      <c r="U48" s="263" t="s">
        <v>259</v>
      </c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86">
        <f t="shared" si="0"/>
        <v>0</v>
      </c>
      <c r="L49" s="2"/>
      <c r="M49" s="2"/>
      <c r="N49" s="86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86">
        <f t="shared" si="0"/>
        <v>0</v>
      </c>
      <c r="L50" s="2"/>
      <c r="M50" s="2"/>
      <c r="N50" s="86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86">
        <f t="shared" si="0"/>
        <v>0</v>
      </c>
      <c r="L51" s="2"/>
      <c r="M51" s="2"/>
      <c r="N51" s="86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86">
        <f t="shared" si="0"/>
        <v>0</v>
      </c>
      <c r="L52" s="2"/>
      <c r="M52" s="2"/>
      <c r="N52" s="86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86">
        <f t="shared" si="0"/>
        <v>0</v>
      </c>
      <c r="L53" s="2"/>
      <c r="M53" s="2"/>
      <c r="N53" s="86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86">
        <f t="shared" si="0"/>
        <v>0</v>
      </c>
      <c r="L54" s="2"/>
      <c r="M54" s="2"/>
      <c r="N54" s="86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86">
        <f t="shared" si="0"/>
        <v>0</v>
      </c>
      <c r="L55" s="2"/>
      <c r="M55" s="2"/>
      <c r="N55" s="86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86">
        <f t="shared" si="0"/>
        <v>0</v>
      </c>
      <c r="L56" s="2"/>
      <c r="M56" s="2"/>
      <c r="N56" s="86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86">
        <f t="shared" si="0"/>
        <v>0</v>
      </c>
      <c r="L57" s="2"/>
      <c r="M57" s="2"/>
      <c r="N57" s="86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86">
        <f t="shared" si="0"/>
        <v>0</v>
      </c>
      <c r="L58" s="2"/>
      <c r="M58" s="2"/>
      <c r="N58" s="86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86">
        <f t="shared" si="0"/>
        <v>0</v>
      </c>
      <c r="L59" s="2"/>
      <c r="M59" s="2"/>
      <c r="N59" s="86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86">
        <f t="shared" si="0"/>
        <v>0</v>
      </c>
      <c r="L60" s="2"/>
      <c r="M60" s="2"/>
      <c r="N60" s="86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86">
        <f t="shared" si="0"/>
        <v>0</v>
      </c>
      <c r="L61" s="2"/>
      <c r="M61" s="2"/>
      <c r="N61" s="86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86">
        <f t="shared" si="0"/>
        <v>0</v>
      </c>
      <c r="L62" s="2"/>
      <c r="M62" s="2"/>
      <c r="N62" s="86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86">
        <f t="shared" si="0"/>
        <v>0</v>
      </c>
      <c r="L63" s="2"/>
      <c r="M63" s="2"/>
      <c r="N63" s="86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86">
        <f t="shared" si="0"/>
        <v>0</v>
      </c>
      <c r="L64" s="2"/>
      <c r="M64" s="2"/>
      <c r="N64" s="86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86">
        <f t="shared" si="0"/>
        <v>0</v>
      </c>
      <c r="L65" s="2"/>
      <c r="M65" s="2"/>
      <c r="N65" s="86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86">
        <f t="shared" si="0"/>
        <v>0</v>
      </c>
      <c r="L66" s="2"/>
      <c r="M66" s="2"/>
      <c r="N66" s="86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86">
        <f t="shared" si="0"/>
        <v>0</v>
      </c>
      <c r="L67" s="2"/>
      <c r="M67" s="2"/>
      <c r="N67" s="86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86">
        <f t="shared" si="0"/>
        <v>0</v>
      </c>
      <c r="L68" s="2"/>
      <c r="M68" s="2"/>
      <c r="N68" s="86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86">
        <f t="shared" si="0"/>
        <v>0</v>
      </c>
      <c r="L69" s="2"/>
      <c r="M69" s="2"/>
      <c r="N69" s="86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86">
        <f t="shared" si="0"/>
        <v>0</v>
      </c>
      <c r="L70" s="2"/>
      <c r="M70" s="2"/>
      <c r="N70" s="86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86">
        <f t="shared" si="0"/>
        <v>0</v>
      </c>
      <c r="L71" s="2"/>
      <c r="M71" s="2"/>
      <c r="N71" s="86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86">
        <f t="shared" ref="K72:K101" si="2">SUM(SUM(B72:F72)*360,SUM(G72:J72)*90)</f>
        <v>0</v>
      </c>
      <c r="L72" s="2"/>
      <c r="M72" s="2"/>
      <c r="N72" s="86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86">
        <f t="shared" si="2"/>
        <v>0</v>
      </c>
      <c r="L73" s="2"/>
      <c r="M73" s="2"/>
      <c r="N73" s="86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86">
        <f t="shared" si="2"/>
        <v>0</v>
      </c>
      <c r="L74" s="2"/>
      <c r="M74" s="2"/>
      <c r="N74" s="86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86">
        <f t="shared" si="2"/>
        <v>0</v>
      </c>
      <c r="L75" s="2"/>
      <c r="M75" s="2"/>
      <c r="N75" s="86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86">
        <f t="shared" si="2"/>
        <v>0</v>
      </c>
      <c r="L76" s="2"/>
      <c r="M76" s="2"/>
      <c r="N76" s="86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86">
        <f t="shared" si="2"/>
        <v>0</v>
      </c>
      <c r="L77" s="2"/>
      <c r="M77" s="2"/>
      <c r="N77" s="86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86">
        <f t="shared" si="2"/>
        <v>0</v>
      </c>
      <c r="L78" s="2"/>
      <c r="M78" s="2"/>
      <c r="N78" s="86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86">
        <f t="shared" si="2"/>
        <v>0</v>
      </c>
      <c r="L79" s="2"/>
      <c r="M79" s="2"/>
      <c r="N79" s="86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86">
        <f t="shared" si="2"/>
        <v>0</v>
      </c>
      <c r="L80" s="2"/>
      <c r="M80" s="2"/>
      <c r="N80" s="86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86">
        <f t="shared" si="2"/>
        <v>0</v>
      </c>
      <c r="L81" s="2"/>
      <c r="M81" s="2"/>
      <c r="N81" s="86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86">
        <f t="shared" si="2"/>
        <v>0</v>
      </c>
      <c r="L82" s="2"/>
      <c r="M82" s="2"/>
      <c r="N82" s="86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86">
        <f t="shared" si="2"/>
        <v>0</v>
      </c>
      <c r="L83" s="2"/>
      <c r="M83" s="2"/>
      <c r="N83" s="86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86">
        <f t="shared" si="2"/>
        <v>0</v>
      </c>
      <c r="L84" s="2"/>
      <c r="M84" s="2"/>
      <c r="N84" s="86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86">
        <f t="shared" si="2"/>
        <v>0</v>
      </c>
      <c r="L85" s="2"/>
      <c r="M85" s="2"/>
      <c r="N85" s="86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86">
        <f t="shared" si="2"/>
        <v>0</v>
      </c>
      <c r="L86" s="2"/>
      <c r="M86" s="2"/>
      <c r="N86" s="86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86">
        <f t="shared" si="2"/>
        <v>0</v>
      </c>
      <c r="L87" s="2"/>
      <c r="M87" s="2"/>
      <c r="N87" s="86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86">
        <f t="shared" si="2"/>
        <v>0</v>
      </c>
      <c r="L88" s="2"/>
      <c r="M88" s="2"/>
      <c r="N88" s="86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86">
        <f t="shared" si="2"/>
        <v>0</v>
      </c>
      <c r="L89" s="2"/>
      <c r="M89" s="2"/>
      <c r="N89" s="86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86">
        <f t="shared" si="2"/>
        <v>0</v>
      </c>
      <c r="L90" s="2"/>
      <c r="M90" s="2"/>
      <c r="N90" s="86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86">
        <f t="shared" si="2"/>
        <v>0</v>
      </c>
      <c r="L91" s="2"/>
      <c r="M91" s="2"/>
      <c r="N91" s="86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86">
        <f t="shared" si="2"/>
        <v>0</v>
      </c>
      <c r="L92" s="2"/>
      <c r="M92" s="2"/>
      <c r="N92" s="86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86">
        <f t="shared" si="2"/>
        <v>0</v>
      </c>
      <c r="L93" s="2"/>
      <c r="M93" s="2"/>
      <c r="N93" s="86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86">
        <f t="shared" si="2"/>
        <v>0</v>
      </c>
      <c r="L94" s="2"/>
      <c r="M94" s="2"/>
      <c r="N94" s="86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86">
        <f t="shared" si="2"/>
        <v>0</v>
      </c>
      <c r="L95" s="2"/>
      <c r="M95" s="2"/>
      <c r="N95" s="86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86">
        <f t="shared" si="2"/>
        <v>0</v>
      </c>
      <c r="L96" s="2"/>
      <c r="M96" s="2"/>
      <c r="N96" s="86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86">
        <f t="shared" si="2"/>
        <v>0</v>
      </c>
      <c r="L97" s="2"/>
      <c r="M97" s="2"/>
      <c r="N97" s="86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86">
        <f t="shared" si="2"/>
        <v>0</v>
      </c>
      <c r="L98" s="2"/>
      <c r="M98" s="2"/>
      <c r="N98" s="86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86">
        <f t="shared" si="2"/>
        <v>0</v>
      </c>
      <c r="L99" s="2"/>
      <c r="M99" s="2"/>
      <c r="N99" s="86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87">
        <f t="shared" si="2"/>
        <v>0</v>
      </c>
      <c r="L100" s="9"/>
      <c r="M100" s="9"/>
      <c r="N100" s="87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 s="88">
        <f t="shared" si="2"/>
        <v>0</v>
      </c>
      <c r="N101" s="88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O8:O101" xr:uid="{2ADF5310-5259-9243-BCF3-7B7D775314D4}">
      <formula1>$T$13:$T$15</formula1>
    </dataValidation>
    <dataValidation type="list" allowBlank="1" showInputMessage="1" showErrorMessage="1" sqref="R41:R55" xr:uid="{A2163D76-D070-A344-AB30-8FA0A3440EE7}">
      <formula1>$R$33:$R$36</formula1>
    </dataValidation>
    <dataValidation type="list" allowBlank="1" showInputMessage="1" showErrorMessage="1" sqref="T41:T55" xr:uid="{BB6ADC8A-0568-6B4E-B305-6BF15AFCD42F}">
      <formula1>"技術,人為,過期,吃掉"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B161-853A-A04D-B86F-931F4F2A49AA}">
  <sheetPr codeName="工作表13"/>
  <dimension ref="A1:AD101"/>
  <sheetViews>
    <sheetView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SUMIF(表格1_3345152535455565758[欄1],"&lt;&gt;公關品",表格1_3345152535455565758[運費])</f>
        <v>0</v>
      </c>
      <c r="V9" s="244"/>
      <c r="W9" s="2"/>
      <c r="X9" s="1" t="s">
        <v>109</v>
      </c>
      <c r="Y9" s="213">
        <f>INDEX('10'!Y12:Z13,1,1)</f>
        <v>31984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'10'!Y33</f>
        <v>0</v>
      </c>
      <c r="T33" s="2"/>
      <c r="U33" s="2"/>
      <c r="V33" s="2">
        <f>SUMIF(R40:R55,"原味",S40:S55)</f>
        <v>0</v>
      </c>
      <c r="W33" s="114">
        <f ca="1">V24+U24+U19+U20*4</f>
        <v>0</v>
      </c>
      <c r="X33" s="114"/>
      <c r="Y33" s="13">
        <f ca="1">S33+U33-V33-W33</f>
        <v>0</v>
      </c>
      <c r="Z33" s="28" t="str">
        <f ca="1">IFERROR((V33/(U33+S33))," ")</f>
        <v xml:space="preserve"> 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'10'!Y34</f>
        <v>0</v>
      </c>
      <c r="T34" s="2"/>
      <c r="U34" s="2"/>
      <c r="V34" s="2">
        <f>SUMIF(R41:R55,"可可",S41:S55)</f>
        <v>0</v>
      </c>
      <c r="W34" s="114">
        <f ca="1">V25+U25+U19+U21*4</f>
        <v>0</v>
      </c>
      <c r="X34" s="114"/>
      <c r="Y34" s="13">
        <f ca="1">S34+U34-V34-W34</f>
        <v>0</v>
      </c>
      <c r="Z34" s="28" t="str">
        <f ca="1">IFERROR((V34/(U34+S34))," ")</f>
        <v xml:space="preserve"> 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'10'!Y35</f>
        <v>0</v>
      </c>
      <c r="T35" s="2"/>
      <c r="U35" s="2"/>
      <c r="V35" s="2">
        <f>SUMIF(R41:R55,"伯爵",S41:S55)</f>
        <v>0</v>
      </c>
      <c r="W35" s="114">
        <f ca="1">V26+U26+U19+U22*4</f>
        <v>0</v>
      </c>
      <c r="X35" s="114"/>
      <c r="Y35" s="13">
        <f ca="1">S35+U35-V35-W35</f>
        <v>0</v>
      </c>
      <c r="Z35" s="28" t="str">
        <f ca="1">IFERROR((V35/(U35+S35))," ")</f>
        <v xml:space="preserve"> 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'10'!Y36</f>
        <v>0</v>
      </c>
      <c r="T36" s="2"/>
      <c r="U36" s="2"/>
      <c r="V36" s="2">
        <f>SUMIF(R41:R55,"抹茶",S41:S55)</f>
        <v>0</v>
      </c>
      <c r="W36" s="114">
        <f ca="1">V27+U27+U19+U23*4</f>
        <v>0</v>
      </c>
      <c r="X36" s="114"/>
      <c r="Y36" s="13">
        <f ca="1">S36+U36-V36-W36</f>
        <v>0</v>
      </c>
      <c r="Z36" s="28" t="str">
        <f ca="1">IFERROR((V36/(U36+S36))," ")</f>
        <v xml:space="preserve"> 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/>
      <c r="S41" s="2"/>
      <c r="T41" s="15"/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T41:T55" xr:uid="{D79CFA9A-F4D0-AF49-96B4-BAC304CC5C36}">
      <formula1>"技術,人為,過期,吃掉"</formula1>
    </dataValidation>
    <dataValidation type="list" allowBlank="1" showInputMessage="1" showErrorMessage="1" sqref="R41:R55" xr:uid="{8E353895-9D3B-0E4D-A85A-7B0F2894182D}">
      <formula1>$R$33:$R$36</formula1>
    </dataValidation>
    <dataValidation type="list" allowBlank="1" showInputMessage="1" showErrorMessage="1" sqref="O8:O101" xr:uid="{0953000A-EDEB-4B42-82F8-C06A02424018}">
      <formula1>$T$13:$T$15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368B0-BF75-FB41-B972-A9B2C5BE6C33}">
  <sheetPr codeName="工作表14"/>
  <dimension ref="A1:AD101"/>
  <sheetViews>
    <sheetView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SUMIF(表格1_334515253545556575859[欄1],"&lt;&gt;公關品",表格1_334515253545556575859[運費])</f>
        <v>0</v>
      </c>
      <c r="V9" s="244"/>
      <c r="W9" s="2"/>
      <c r="X9" s="1" t="s">
        <v>109</v>
      </c>
      <c r="Y9" s="213">
        <f>INDEX('11'!Y12:Z13,1,1)</f>
        <v>31984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'11'!Y33</f>
        <v>0</v>
      </c>
      <c r="T33" s="2"/>
      <c r="U33" s="2"/>
      <c r="V33" s="2">
        <f>SUMIF(R40:R55,"原味",S40:S55)</f>
        <v>0</v>
      </c>
      <c r="W33" s="114">
        <f ca="1">V24+U24+U19+U20*4</f>
        <v>0</v>
      </c>
      <c r="X33" s="114"/>
      <c r="Y33" s="13">
        <f ca="1">S33+U33-V33-W33</f>
        <v>0</v>
      </c>
      <c r="Z33" s="28" t="str">
        <f ca="1">IFERROR((V33/(U33+S33))," ")</f>
        <v xml:space="preserve"> 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'11'!Y34</f>
        <v>0</v>
      </c>
      <c r="T34" s="2"/>
      <c r="U34" s="2"/>
      <c r="V34" s="2">
        <f>SUMIF(R41:R55,"可可",S41:S55)</f>
        <v>0</v>
      </c>
      <c r="W34" s="114">
        <f ca="1">V25+U25+U19+U21*4</f>
        <v>0</v>
      </c>
      <c r="X34" s="114"/>
      <c r="Y34" s="13">
        <f ca="1">S34+U34-V34-W34</f>
        <v>0</v>
      </c>
      <c r="Z34" s="28" t="str">
        <f ca="1">IFERROR((V34/(U34+S34))," ")</f>
        <v xml:space="preserve"> 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'11'!Y35</f>
        <v>0</v>
      </c>
      <c r="T35" s="2"/>
      <c r="U35" s="2"/>
      <c r="V35" s="2">
        <f>SUMIF(R41:R55,"伯爵",S41:S55)</f>
        <v>0</v>
      </c>
      <c r="W35" s="114">
        <f ca="1">V26+U26+U19+U22*4</f>
        <v>0</v>
      </c>
      <c r="X35" s="114"/>
      <c r="Y35" s="13">
        <f ca="1">S35+U35-V35-W35</f>
        <v>0</v>
      </c>
      <c r="Z35" s="28" t="str">
        <f ca="1">IFERROR((V35/(U35+S35))," ")</f>
        <v xml:space="preserve"> 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'11'!Y36</f>
        <v>0</v>
      </c>
      <c r="T36" s="2"/>
      <c r="U36" s="2"/>
      <c r="V36" s="2">
        <f>SUMIF(R41:R55,"抹茶",S41:S55)</f>
        <v>0</v>
      </c>
      <c r="W36" s="114">
        <f ca="1">V27+U27+U19+U23*4</f>
        <v>0</v>
      </c>
      <c r="X36" s="114"/>
      <c r="Y36" s="13">
        <f ca="1">S36+U36-V36-W36</f>
        <v>0</v>
      </c>
      <c r="Z36" s="28" t="str">
        <f ca="1">IFERROR((V36/(U36+S36))," ")</f>
        <v xml:space="preserve"> 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/>
      <c r="S41" s="2"/>
      <c r="T41" s="15"/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O8:O101" xr:uid="{1FB9DE5B-E7F3-414E-A133-2E34F734B476}">
      <formula1>$T$13:$T$15</formula1>
    </dataValidation>
    <dataValidation type="list" allowBlank="1" showInputMessage="1" showErrorMessage="1" sqref="R41:R55" xr:uid="{372E2A85-87FF-D94A-B523-62FD5796931D}">
      <formula1>$R$33:$R$36</formula1>
    </dataValidation>
    <dataValidation type="list" allowBlank="1" showInputMessage="1" showErrorMessage="1" sqref="T41:T55" xr:uid="{1547934E-6B0A-7C43-BF3B-10FFB4182499}">
      <formula1>"技術,人為,過期,吃掉"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CBA8-C512-CD4F-B775-3A55013A35C2}">
  <sheetPr codeName="工作表15"/>
  <dimension ref="A1:AD101"/>
  <sheetViews>
    <sheetView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SUMIF(表格1_33451525354555657585960[欄1],"&lt;&gt;公關品",表格1_33451525354555657585960[運費])</f>
        <v>0</v>
      </c>
      <c r="V9" s="244"/>
      <c r="W9" s="2"/>
      <c r="X9" s="1" t="s">
        <v>109</v>
      </c>
      <c r="Y9" s="213">
        <f>INDEX('12'!Y12:Z13,1,1)</f>
        <v>31984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'12'!Y33</f>
        <v>0</v>
      </c>
      <c r="T33" s="2"/>
      <c r="U33" s="2"/>
      <c r="V33" s="2">
        <f>SUMIF(R40:R55,"原味",S40:S55)</f>
        <v>0</v>
      </c>
      <c r="W33" s="114">
        <f ca="1">V24+U24+U19+U20*4</f>
        <v>0</v>
      </c>
      <c r="X33" s="114"/>
      <c r="Y33" s="13">
        <f ca="1">S33+U33-V33-W33</f>
        <v>0</v>
      </c>
      <c r="Z33" s="28" t="str">
        <f ca="1">IFERROR((V33/(U33+S33))," ")</f>
        <v xml:space="preserve"> 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'12'!Y34</f>
        <v>0</v>
      </c>
      <c r="T34" s="2"/>
      <c r="U34" s="2"/>
      <c r="V34" s="2">
        <f>SUMIF(R41:R55,"可可",S41:S55)</f>
        <v>0</v>
      </c>
      <c r="W34" s="114">
        <f ca="1">V25+U25+U19+U21*4</f>
        <v>0</v>
      </c>
      <c r="X34" s="114"/>
      <c r="Y34" s="13">
        <f ca="1">S34+U34-V34-W34</f>
        <v>0</v>
      </c>
      <c r="Z34" s="28" t="str">
        <f ca="1">IFERROR((V34/(U34+S34))," ")</f>
        <v xml:space="preserve"> 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'12'!Y35</f>
        <v>0</v>
      </c>
      <c r="T35" s="2"/>
      <c r="U35" s="2"/>
      <c r="V35" s="2">
        <f>SUMIF(R41:R55,"伯爵",S41:S55)</f>
        <v>0</v>
      </c>
      <c r="W35" s="114">
        <f ca="1">V26+U26+U19+U22*4</f>
        <v>0</v>
      </c>
      <c r="X35" s="114"/>
      <c r="Y35" s="13">
        <f ca="1">S35+U35-V35-W35</f>
        <v>0</v>
      </c>
      <c r="Z35" s="28" t="str">
        <f ca="1">IFERROR((V35/(U35+S35))," ")</f>
        <v xml:space="preserve"> 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'12'!Y36</f>
        <v>0</v>
      </c>
      <c r="T36" s="2"/>
      <c r="U36" s="2"/>
      <c r="V36" s="2">
        <f>SUMIF(R41:R55,"抹茶",S41:S55)</f>
        <v>0</v>
      </c>
      <c r="W36" s="114">
        <f ca="1">V27+U27+U19+U23*4</f>
        <v>0</v>
      </c>
      <c r="X36" s="114"/>
      <c r="Y36" s="13">
        <f ca="1">S36+U36-V36-W36</f>
        <v>0</v>
      </c>
      <c r="Z36" s="28" t="str">
        <f ca="1">IFERROR((V36/(U36+S36))," ")</f>
        <v xml:space="preserve"> 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/>
      <c r="S41" s="2"/>
      <c r="T41" s="15"/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T41:T55" xr:uid="{857806AE-5271-954A-90D6-DFB47AA9CBA1}">
      <formula1>"技術,人為,過期,吃掉"</formula1>
    </dataValidation>
    <dataValidation type="list" allowBlank="1" showInputMessage="1" showErrorMessage="1" sqref="R41:R55" xr:uid="{818949A0-7218-C546-BA85-09CC9D47B9C3}">
      <formula1>$R$33:$R$36</formula1>
    </dataValidation>
    <dataValidation type="list" allowBlank="1" showInputMessage="1" showErrorMessage="1" sqref="O8:O101" xr:uid="{1E934549-EAD0-0048-A890-9EFFBEDA5954}">
      <formula1>$T$13:$T$15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787C-435F-104A-865D-E5D8D01F3955}">
  <sheetPr codeName="工作表16"/>
  <dimension ref="A1:AD101"/>
  <sheetViews>
    <sheetView topLeftCell="A2"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SUMIF(表格1_3345152535455565758596061[欄1],"&lt;&gt;公關品",表格1_3345152535455565758596061[運費])</f>
        <v>0</v>
      </c>
      <c r="V9" s="244"/>
      <c r="W9" s="2"/>
      <c r="X9" s="1" t="s">
        <v>109</v>
      </c>
      <c r="Y9" s="213">
        <f>INDEX('13'!Y12:Z13,1,1)</f>
        <v>31984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'13'!Y33</f>
        <v>0</v>
      </c>
      <c r="T33" s="2"/>
      <c r="U33" s="2"/>
      <c r="V33" s="2">
        <f>SUMIF(R40:R55,"原味",S40:S55)</f>
        <v>0</v>
      </c>
      <c r="W33" s="114">
        <f ca="1">V24+U24+U19+U20*4</f>
        <v>0</v>
      </c>
      <c r="X33" s="114"/>
      <c r="Y33" s="13">
        <f ca="1">S33+U33-V33-W33</f>
        <v>0</v>
      </c>
      <c r="Z33" s="28" t="str">
        <f ca="1">IFERROR((V33/(U33+S33))," ")</f>
        <v xml:space="preserve"> 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'13'!Y34</f>
        <v>0</v>
      </c>
      <c r="T34" s="2"/>
      <c r="U34" s="2"/>
      <c r="V34" s="2">
        <f>SUMIF(R41:R55,"可可",S41:S55)</f>
        <v>0</v>
      </c>
      <c r="W34" s="114">
        <f ca="1">V25+U25+U19+U21*4</f>
        <v>0</v>
      </c>
      <c r="X34" s="114"/>
      <c r="Y34" s="13">
        <f ca="1">S34+U34-V34-W34</f>
        <v>0</v>
      </c>
      <c r="Z34" s="28" t="str">
        <f ca="1">IFERROR((V34/(U34+S34))," ")</f>
        <v xml:space="preserve"> 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'13'!Y35</f>
        <v>0</v>
      </c>
      <c r="T35" s="2"/>
      <c r="U35" s="2"/>
      <c r="V35" s="2">
        <f>SUMIF(R41:R55,"伯爵",S41:S55)</f>
        <v>0</v>
      </c>
      <c r="W35" s="114">
        <f ca="1">V26+U26+U19+U22*4</f>
        <v>0</v>
      </c>
      <c r="X35" s="114"/>
      <c r="Y35" s="13">
        <f ca="1">S35+U35-V35-W35</f>
        <v>0</v>
      </c>
      <c r="Z35" s="28" t="str">
        <f ca="1">IFERROR((V35/(U35+S35))," ")</f>
        <v xml:space="preserve"> 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'13'!Y36</f>
        <v>0</v>
      </c>
      <c r="T36" s="2"/>
      <c r="U36" s="2"/>
      <c r="V36" s="2">
        <f>SUMIF(R41:R55,"抹茶",S41:S55)</f>
        <v>0</v>
      </c>
      <c r="W36" s="114">
        <f ca="1">V27+U27+U19+U23*4</f>
        <v>0</v>
      </c>
      <c r="X36" s="114"/>
      <c r="Y36" s="13">
        <f ca="1">S36+U36-V36-W36</f>
        <v>0</v>
      </c>
      <c r="Z36" s="28" t="str">
        <f ca="1">IFERROR((V36/(U36+S36))," ")</f>
        <v xml:space="preserve"> 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/>
      <c r="S41" s="2"/>
      <c r="T41" s="15"/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O8:O101" xr:uid="{973BD53A-749D-254E-B485-4172DE4A9F85}">
      <formula1>$T$13:$T$15</formula1>
    </dataValidation>
    <dataValidation type="list" allowBlank="1" showInputMessage="1" showErrorMessage="1" sqref="R41:R55" xr:uid="{3C6B9C54-EAB4-6A43-80A6-641FF0CD329B}">
      <formula1>$R$33:$R$36</formula1>
    </dataValidation>
    <dataValidation type="list" allowBlank="1" showInputMessage="1" showErrorMessage="1" sqref="T41:T55" xr:uid="{221FB476-91B0-1542-B335-79EED71431BC}">
      <formula1>"技術,人為,過期,吃掉"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0F40-E4CE-AB40-965E-7657CD67B53B}">
  <sheetPr codeName="工作表17"/>
  <dimension ref="A1:AD101"/>
  <sheetViews>
    <sheetView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SUMIF(表格1_334515253545556575859606162[欄1],"&lt;&gt;公關品",表格1_334515253545556575859606162[運費])</f>
        <v>0</v>
      </c>
      <c r="V9" s="244"/>
      <c r="W9" s="2"/>
      <c r="X9" s="1" t="s">
        <v>109</v>
      </c>
      <c r="Y9" s="213">
        <f>INDEX('14'!Y12:Z13,1,1)</f>
        <v>31984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'14'!Y33</f>
        <v>0</v>
      </c>
      <c r="T33" s="2"/>
      <c r="U33" s="2"/>
      <c r="V33" s="2">
        <f>SUMIF(R40:R55,"原味",S40:S55)</f>
        <v>0</v>
      </c>
      <c r="W33" s="114">
        <f ca="1">V24+U24+U19+U20*4</f>
        <v>0</v>
      </c>
      <c r="X33" s="114"/>
      <c r="Y33" s="13">
        <f ca="1">S33+U33-V33-W33</f>
        <v>0</v>
      </c>
      <c r="Z33" s="28" t="str">
        <f ca="1">IFERROR((V33/(U33+S33))," ")</f>
        <v xml:space="preserve"> 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'14'!Y34</f>
        <v>0</v>
      </c>
      <c r="T34" s="2"/>
      <c r="U34" s="2"/>
      <c r="V34" s="2">
        <f>SUMIF(R41:R55,"可可",S41:S55)</f>
        <v>0</v>
      </c>
      <c r="W34" s="114">
        <f ca="1">V25+U25+U19+U21*4</f>
        <v>0</v>
      </c>
      <c r="X34" s="114"/>
      <c r="Y34" s="13">
        <f ca="1">S34+U34-V34-W34</f>
        <v>0</v>
      </c>
      <c r="Z34" s="28" t="str">
        <f ca="1">IFERROR((V34/(U34+S34))," ")</f>
        <v xml:space="preserve"> 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'14'!Y35</f>
        <v>0</v>
      </c>
      <c r="T35" s="2"/>
      <c r="U35" s="2"/>
      <c r="V35" s="2">
        <f>SUMIF(R41:R55,"伯爵",S41:S55)</f>
        <v>0</v>
      </c>
      <c r="W35" s="114">
        <f ca="1">V26+U26+U19+U22*4</f>
        <v>0</v>
      </c>
      <c r="X35" s="114"/>
      <c r="Y35" s="13">
        <f ca="1">S35+U35-V35-W35</f>
        <v>0</v>
      </c>
      <c r="Z35" s="28" t="str">
        <f ca="1">IFERROR((V35/(U35+S35))," ")</f>
        <v xml:space="preserve"> 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'14'!Y36</f>
        <v>0</v>
      </c>
      <c r="T36" s="2"/>
      <c r="U36" s="2"/>
      <c r="V36" s="2">
        <f>SUMIF(R41:R55,"抹茶",S41:S55)</f>
        <v>0</v>
      </c>
      <c r="W36" s="114">
        <f ca="1">V27+U27+U19+U23*4</f>
        <v>0</v>
      </c>
      <c r="X36" s="114"/>
      <c r="Y36" s="13">
        <f ca="1">S36+U36-V36-W36</f>
        <v>0</v>
      </c>
      <c r="Z36" s="28" t="str">
        <f ca="1">IFERROR((V36/(U36+S36))," ")</f>
        <v xml:space="preserve"> 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/>
      <c r="S41" s="2"/>
      <c r="T41" s="15"/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T41:T55" xr:uid="{BF225F4C-64EB-D345-9F3E-E3AEAF9336B2}">
      <formula1>"技術,人為,過期,吃掉"</formula1>
    </dataValidation>
    <dataValidation type="list" allowBlank="1" showInputMessage="1" showErrorMessage="1" sqref="R41:R55" xr:uid="{6FC97B71-5710-9D4B-B326-B82A377F6492}">
      <formula1>$R$33:$R$36</formula1>
    </dataValidation>
    <dataValidation type="list" allowBlank="1" showInputMessage="1" showErrorMessage="1" sqref="O8:O101" xr:uid="{F46922D2-280F-EC44-A20A-588BA3A7A05C}">
      <formula1>$T$13:$T$15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19E9-2C42-564F-A6BE-1F6F9BEFF61F}">
  <sheetPr codeName="工作表18"/>
  <dimension ref="A1:AD101"/>
  <sheetViews>
    <sheetView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SUMIF(表格1_33451525354555657585960616263[欄1],"&lt;&gt;公關品",表格1_33451525354555657585960616263[運費])</f>
        <v>0</v>
      </c>
      <c r="V9" s="244"/>
      <c r="W9" s="2"/>
      <c r="X9" s="1" t="s">
        <v>109</v>
      </c>
      <c r="Y9" s="213">
        <f>INDEX('15'!Y12:Z13,1,1)</f>
        <v>31984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'15'!Y33</f>
        <v>0</v>
      </c>
      <c r="T33" s="2"/>
      <c r="U33" s="2"/>
      <c r="V33" s="2">
        <f>SUMIF(R40:R55,"原味",S40:S55)</f>
        <v>0</v>
      </c>
      <c r="W33" s="114">
        <f ca="1">V24+U24+U19+U20*4</f>
        <v>0</v>
      </c>
      <c r="X33" s="114"/>
      <c r="Y33" s="13">
        <f ca="1">S33+U33-V33-W33</f>
        <v>0</v>
      </c>
      <c r="Z33" s="28" t="str">
        <f ca="1">IFERROR((V33/(U33+S33))," ")</f>
        <v xml:space="preserve"> 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'15'!Y34</f>
        <v>0</v>
      </c>
      <c r="T34" s="2"/>
      <c r="U34" s="2"/>
      <c r="V34" s="2">
        <f>SUMIF(R41:R55,"可可",S41:S55)</f>
        <v>0</v>
      </c>
      <c r="W34" s="114">
        <f ca="1">V25+U25+U19+U21*4</f>
        <v>0</v>
      </c>
      <c r="X34" s="114"/>
      <c r="Y34" s="13">
        <f ca="1">S34+U34-V34-W34</f>
        <v>0</v>
      </c>
      <c r="Z34" s="28" t="str">
        <f ca="1">IFERROR((V34/(U34+S34))," ")</f>
        <v xml:space="preserve"> 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'15'!Y35</f>
        <v>0</v>
      </c>
      <c r="T35" s="2"/>
      <c r="U35" s="2"/>
      <c r="V35" s="2">
        <f>SUMIF(R41:R55,"伯爵",S41:S55)</f>
        <v>0</v>
      </c>
      <c r="W35" s="114">
        <f ca="1">V26+U26+U19+U22*4</f>
        <v>0</v>
      </c>
      <c r="X35" s="114"/>
      <c r="Y35" s="13">
        <f ca="1">S35+U35-V35-W35</f>
        <v>0</v>
      </c>
      <c r="Z35" s="28" t="str">
        <f ca="1">IFERROR((V35/(U35+S35))," ")</f>
        <v xml:space="preserve"> 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'15'!Y36</f>
        <v>0</v>
      </c>
      <c r="T36" s="2"/>
      <c r="U36" s="2"/>
      <c r="V36" s="2">
        <f>SUMIF(R41:R55,"抹茶",S41:S55)</f>
        <v>0</v>
      </c>
      <c r="W36" s="114">
        <f ca="1">V27+U27+U19+U23*4</f>
        <v>0</v>
      </c>
      <c r="X36" s="114"/>
      <c r="Y36" s="13">
        <f ca="1">S36+U36-V36-W36</f>
        <v>0</v>
      </c>
      <c r="Z36" s="28" t="str">
        <f ca="1">IFERROR((V36/(U36+S36))," ")</f>
        <v xml:space="preserve"> 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/>
      <c r="S41" s="2"/>
      <c r="T41" s="15"/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O8:O101" xr:uid="{9614E375-5613-9749-B903-BC4586710466}">
      <formula1>$T$13:$T$15</formula1>
    </dataValidation>
    <dataValidation type="list" allowBlank="1" showInputMessage="1" showErrorMessage="1" sqref="R41:R55" xr:uid="{A5798B30-164E-C048-A577-E9B402548A04}">
      <formula1>$R$33:$R$36</formula1>
    </dataValidation>
    <dataValidation type="list" allowBlank="1" showInputMessage="1" showErrorMessage="1" sqref="T41:T55" xr:uid="{00BF90E7-5F82-8C4E-95DB-D70AA41366B8}">
      <formula1>"技術,人為,過期,吃掉"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CCAFC-2EC1-F541-BF60-893B184BEC21}">
  <sheetPr codeName="工作表19"/>
  <dimension ref="A1:AD101"/>
  <sheetViews>
    <sheetView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SUMIF(表格1_3345152535455565758596061626364[欄1],"&lt;&gt;公關品",表格1_3345152535455565758596061626364[運費])</f>
        <v>0</v>
      </c>
      <c r="V9" s="244"/>
      <c r="W9" s="2"/>
      <c r="X9" s="1" t="s">
        <v>109</v>
      </c>
      <c r="Y9" s="213">
        <f>INDEX('16'!Y12:Z13,1,1)</f>
        <v>31984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'16'!Y33</f>
        <v>0</v>
      </c>
      <c r="T33" s="2"/>
      <c r="U33" s="2"/>
      <c r="V33" s="2">
        <f>SUMIF(R40:R55,"原味",S40:S55)</f>
        <v>0</v>
      </c>
      <c r="W33" s="114">
        <f ca="1">V24+U24+U19+U20*4</f>
        <v>0</v>
      </c>
      <c r="X33" s="114"/>
      <c r="Y33" s="13">
        <f ca="1">S33+U33-V33-W33</f>
        <v>0</v>
      </c>
      <c r="Z33" s="28" t="str">
        <f ca="1">IFERROR((V33/(U33+S33))," ")</f>
        <v xml:space="preserve"> 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'16'!Y34</f>
        <v>0</v>
      </c>
      <c r="T34" s="2"/>
      <c r="U34" s="2"/>
      <c r="V34" s="2">
        <f>SUMIF(R41:R55,"可可",S41:S55)</f>
        <v>0</v>
      </c>
      <c r="W34" s="114">
        <f ca="1">V25+U25+U19+U21*4</f>
        <v>0</v>
      </c>
      <c r="X34" s="114"/>
      <c r="Y34" s="13">
        <f ca="1">S34+U34-V34-W34</f>
        <v>0</v>
      </c>
      <c r="Z34" s="28" t="str">
        <f ca="1">IFERROR((V34/(U34+S34))," ")</f>
        <v xml:space="preserve"> 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'16'!Y35</f>
        <v>0</v>
      </c>
      <c r="T35" s="2"/>
      <c r="U35" s="2"/>
      <c r="V35" s="2">
        <f>SUMIF(R41:R55,"伯爵",S41:S55)</f>
        <v>0</v>
      </c>
      <c r="W35" s="114">
        <f ca="1">V26+U26+U19+U22*4</f>
        <v>0</v>
      </c>
      <c r="X35" s="114"/>
      <c r="Y35" s="13">
        <f ca="1">S35+U35-V35-W35</f>
        <v>0</v>
      </c>
      <c r="Z35" s="28" t="str">
        <f ca="1">IFERROR((V35/(U35+S35))," ")</f>
        <v xml:space="preserve"> 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'16'!Y36</f>
        <v>0</v>
      </c>
      <c r="T36" s="2"/>
      <c r="U36" s="2"/>
      <c r="V36" s="2">
        <f>SUMIF(R41:R55,"抹茶",S41:S55)</f>
        <v>0</v>
      </c>
      <c r="W36" s="114">
        <f ca="1">V27+U27+U19+U23*4</f>
        <v>0</v>
      </c>
      <c r="X36" s="114"/>
      <c r="Y36" s="13">
        <f ca="1">S36+U36-V36-W36</f>
        <v>0</v>
      </c>
      <c r="Z36" s="28" t="str">
        <f ca="1">IFERROR((V36/(U36+S36))," ")</f>
        <v xml:space="preserve"> 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/>
      <c r="S41" s="2"/>
      <c r="T41" s="15"/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T41:T55" xr:uid="{2FD5A9AB-5089-CE4B-922B-C9F610C26DFF}">
      <formula1>"技術,人為,過期,吃掉"</formula1>
    </dataValidation>
    <dataValidation type="list" allowBlank="1" showInputMessage="1" showErrorMessage="1" sqref="R41:R55" xr:uid="{E506D182-9A8F-C044-AD06-77F1380DB0D6}">
      <formula1>$R$33:$R$36</formula1>
    </dataValidation>
    <dataValidation type="list" allowBlank="1" showInputMessage="1" showErrorMessage="1" sqref="O8:O101" xr:uid="{A9B59F7A-D7E1-4040-8823-31905F1610BE}">
      <formula1>$T$13:$T$15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E1F7D-C49C-3F43-8808-0C5FE0048963}">
  <sheetPr codeName="工作表20"/>
  <dimension ref="A1:AD101"/>
  <sheetViews>
    <sheetView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SUMIF(表格1_334515253545556575859606162636465[欄1],"&lt;&gt;公關品",表格1_334515253545556575859606162636465[運費])</f>
        <v>0</v>
      </c>
      <c r="V9" s="244"/>
      <c r="W9" s="2"/>
      <c r="X9" s="1" t="s">
        <v>109</v>
      </c>
      <c r="Y9" s="213">
        <f>INDEX('17'!Y12:Z13,1,1)</f>
        <v>31984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'17'!Y33</f>
        <v>0</v>
      </c>
      <c r="T33" s="2"/>
      <c r="U33" s="2"/>
      <c r="V33" s="2">
        <f>SUMIF(R40:R55,"原味",S40:S55)</f>
        <v>0</v>
      </c>
      <c r="W33" s="114">
        <f ca="1">V24+U24+U19+U20*4</f>
        <v>0</v>
      </c>
      <c r="X33" s="114"/>
      <c r="Y33" s="13">
        <f ca="1">S33+U33-V33-W33</f>
        <v>0</v>
      </c>
      <c r="Z33" s="28" t="str">
        <f ca="1">IFERROR((V33/(U33+S33))," ")</f>
        <v xml:space="preserve"> 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'17'!Y34</f>
        <v>0</v>
      </c>
      <c r="T34" s="2"/>
      <c r="U34" s="2"/>
      <c r="V34" s="2">
        <f>SUMIF(R41:R55,"可可",S41:S55)</f>
        <v>0</v>
      </c>
      <c r="W34" s="114">
        <f ca="1">V25+U25+U19+U21*4</f>
        <v>0</v>
      </c>
      <c r="X34" s="114"/>
      <c r="Y34" s="13">
        <f ca="1">S34+U34-V34-W34</f>
        <v>0</v>
      </c>
      <c r="Z34" s="28" t="str">
        <f ca="1">IFERROR((V34/(U34+S34))," ")</f>
        <v xml:space="preserve"> 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'17'!Y35</f>
        <v>0</v>
      </c>
      <c r="T35" s="2"/>
      <c r="U35" s="2"/>
      <c r="V35" s="2">
        <f>SUMIF(R41:R55,"伯爵",S41:S55)</f>
        <v>0</v>
      </c>
      <c r="W35" s="114">
        <f ca="1">V26+U26+U19+U22*4</f>
        <v>0</v>
      </c>
      <c r="X35" s="114"/>
      <c r="Y35" s="13">
        <f ca="1">S35+U35-V35-W35</f>
        <v>0</v>
      </c>
      <c r="Z35" s="28" t="str">
        <f ca="1">IFERROR((V35/(U35+S35))," ")</f>
        <v xml:space="preserve"> 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'17'!Y36</f>
        <v>0</v>
      </c>
      <c r="T36" s="2"/>
      <c r="U36" s="2"/>
      <c r="V36" s="2">
        <f>SUMIF(R41:R55,"抹茶",S41:S55)</f>
        <v>0</v>
      </c>
      <c r="W36" s="114">
        <f ca="1">V27+U27+U19+U23*4</f>
        <v>0</v>
      </c>
      <c r="X36" s="114"/>
      <c r="Y36" s="13">
        <f ca="1">S36+U36-V36-W36</f>
        <v>0</v>
      </c>
      <c r="Z36" s="28" t="str">
        <f ca="1">IFERROR((V36/(U36+S36))," ")</f>
        <v xml:space="preserve"> 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/>
      <c r="S41" s="2"/>
      <c r="T41" s="15"/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O8:O101" xr:uid="{51AEE796-8372-2C49-97BC-4352EF18B318}">
      <formula1>$T$13:$T$15</formula1>
    </dataValidation>
    <dataValidation type="list" allowBlank="1" showInputMessage="1" showErrorMessage="1" sqref="R41:R55" xr:uid="{D29D667C-16E0-F94F-8E53-456575C08CC1}">
      <formula1>$R$33:$R$36</formula1>
    </dataValidation>
    <dataValidation type="list" allowBlank="1" showInputMessage="1" showErrorMessage="1" sqref="T41:T55" xr:uid="{4AEDB376-1A85-B94C-BE32-1296A9AEDAFD}">
      <formula1>"技術,人為,過期,吃掉"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E73B-FD03-1943-9544-0E201192D647}">
  <sheetPr codeName="工作表21"/>
  <dimension ref="A1:AD101"/>
  <sheetViews>
    <sheetView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SUMIF(表格1_33451525354555657585960616263646566[欄1],"&lt;&gt;公關品",表格1_33451525354555657585960616263646566[運費])</f>
        <v>0</v>
      </c>
      <c r="V9" s="244"/>
      <c r="W9" s="2"/>
      <c r="X9" s="1" t="s">
        <v>109</v>
      </c>
      <c r="Y9" s="213">
        <f>INDEX('18'!Y12:Z13,1,1)</f>
        <v>31984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'18'!Y33</f>
        <v>0</v>
      </c>
      <c r="T33" s="2"/>
      <c r="U33" s="2"/>
      <c r="V33" s="2">
        <f>SUMIF(R40:R55,"原味",S40:S55)</f>
        <v>0</v>
      </c>
      <c r="W33" s="114">
        <f ca="1">V24+U24+U19+U20*4</f>
        <v>0</v>
      </c>
      <c r="X33" s="114"/>
      <c r="Y33" s="13">
        <f ca="1">S33+U33-V33-W33</f>
        <v>0</v>
      </c>
      <c r="Z33" s="28" t="str">
        <f ca="1">IFERROR((V33/(U33+S33))," ")</f>
        <v xml:space="preserve"> 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'18'!Y34</f>
        <v>0</v>
      </c>
      <c r="T34" s="2"/>
      <c r="U34" s="2"/>
      <c r="V34" s="2">
        <f>SUMIF(R41:R55,"可可",S41:S55)</f>
        <v>0</v>
      </c>
      <c r="W34" s="114">
        <f ca="1">V25+U25+U19+U21*4</f>
        <v>0</v>
      </c>
      <c r="X34" s="114"/>
      <c r="Y34" s="13">
        <f ca="1">S34+U34-V34-W34</f>
        <v>0</v>
      </c>
      <c r="Z34" s="28" t="str">
        <f ca="1">IFERROR((V34/(U34+S34))," ")</f>
        <v xml:space="preserve"> 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'18'!Y35</f>
        <v>0</v>
      </c>
      <c r="T35" s="2"/>
      <c r="U35" s="2"/>
      <c r="V35" s="2">
        <f>SUMIF(R41:R55,"伯爵",S41:S55)</f>
        <v>0</v>
      </c>
      <c r="W35" s="114">
        <f ca="1">V26+U26+U19+U22*4</f>
        <v>0</v>
      </c>
      <c r="X35" s="114"/>
      <c r="Y35" s="13">
        <f ca="1">S35+U35-V35-W35</f>
        <v>0</v>
      </c>
      <c r="Z35" s="28" t="str">
        <f ca="1">IFERROR((V35/(U35+S35))," ")</f>
        <v xml:space="preserve"> 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'18'!Y36</f>
        <v>0</v>
      </c>
      <c r="T36" s="2"/>
      <c r="U36" s="2"/>
      <c r="V36" s="2">
        <f>SUMIF(R41:R55,"抹茶",S41:S55)</f>
        <v>0</v>
      </c>
      <c r="W36" s="114">
        <f ca="1">V27+U27+U19+U23*4</f>
        <v>0</v>
      </c>
      <c r="X36" s="114"/>
      <c r="Y36" s="13">
        <f ca="1">S36+U36-V36-W36</f>
        <v>0</v>
      </c>
      <c r="Z36" s="28" t="str">
        <f ca="1">IFERROR((V36/(U36+S36))," ")</f>
        <v xml:space="preserve"> 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/>
      <c r="S41" s="2"/>
      <c r="T41" s="15"/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T41:T55" xr:uid="{31FE956A-1503-9D40-9A88-073EA6C2D8F9}">
      <formula1>"技術,人為,過期,吃掉"</formula1>
    </dataValidation>
    <dataValidation type="list" allowBlank="1" showInputMessage="1" showErrorMessage="1" sqref="R41:R55" xr:uid="{4204599B-9DA0-8B4C-B92D-852FBFC71092}">
      <formula1>$R$33:$R$36</formula1>
    </dataValidation>
    <dataValidation type="list" allowBlank="1" showInputMessage="1" showErrorMessage="1" sqref="O8:O101" xr:uid="{FC79BD5C-50A6-364A-8117-DFEC03BC8B51}">
      <formula1>$T$13:$T$15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99005-1124-2E43-9E2B-17FA33F137D1}">
  <sheetPr codeName="工作表22"/>
  <dimension ref="A1:AD101"/>
  <sheetViews>
    <sheetView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SUMIF(表格1_3345152535455565758596061626364656667[欄1],"&lt;&gt;公關品",表格1_3345152535455565758596061626364656667[運費])</f>
        <v>0</v>
      </c>
      <c r="V9" s="244"/>
      <c r="W9" s="2"/>
      <c r="X9" s="1" t="s">
        <v>109</v>
      </c>
      <c r="Y9" s="213">
        <f>INDEX('19'!Y12:Z13,1,1)</f>
        <v>31984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'19'!Y33</f>
        <v>0</v>
      </c>
      <c r="T33" s="2"/>
      <c r="U33" s="2"/>
      <c r="V33" s="2">
        <f>SUMIF(R40:R55,"原味",S40:S55)</f>
        <v>0</v>
      </c>
      <c r="W33" s="114">
        <f ca="1">V24+U24+U19+U20*4</f>
        <v>0</v>
      </c>
      <c r="X33" s="114"/>
      <c r="Y33" s="13">
        <f ca="1">S33+U33-V33-W33</f>
        <v>0</v>
      </c>
      <c r="Z33" s="28" t="str">
        <f ca="1">IFERROR((V33/(U33+S33))," ")</f>
        <v xml:space="preserve"> 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'19'!Y34</f>
        <v>0</v>
      </c>
      <c r="T34" s="2"/>
      <c r="U34" s="2"/>
      <c r="V34" s="2">
        <f>SUMIF(R41:R55,"可可",S41:S55)</f>
        <v>0</v>
      </c>
      <c r="W34" s="114">
        <f ca="1">V25+U25+U19+U21*4</f>
        <v>0</v>
      </c>
      <c r="X34" s="114"/>
      <c r="Y34" s="13">
        <f ca="1">S34+U34-V34-W34</f>
        <v>0</v>
      </c>
      <c r="Z34" s="28" t="str">
        <f ca="1">IFERROR((V34/(U34+S34))," ")</f>
        <v xml:space="preserve"> 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'19'!Y35</f>
        <v>0</v>
      </c>
      <c r="T35" s="2"/>
      <c r="U35" s="2"/>
      <c r="V35" s="2">
        <f>SUMIF(R41:R55,"伯爵",S41:S55)</f>
        <v>0</v>
      </c>
      <c r="W35" s="114">
        <f ca="1">V26+U26+U19+U22*4</f>
        <v>0</v>
      </c>
      <c r="X35" s="114"/>
      <c r="Y35" s="13">
        <f ca="1">S35+U35-V35-W35</f>
        <v>0</v>
      </c>
      <c r="Z35" s="28" t="str">
        <f ca="1">IFERROR((V35/(U35+S35))," ")</f>
        <v xml:space="preserve"> 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'19'!Y36</f>
        <v>0</v>
      </c>
      <c r="T36" s="2"/>
      <c r="U36" s="2"/>
      <c r="V36" s="2">
        <f>SUMIF(R41:R55,"抹茶",S41:S55)</f>
        <v>0</v>
      </c>
      <c r="W36" s="114">
        <f ca="1">V27+U27+U19+U23*4</f>
        <v>0</v>
      </c>
      <c r="X36" s="114"/>
      <c r="Y36" s="13">
        <f ca="1">S36+U36-V36-W36</f>
        <v>0</v>
      </c>
      <c r="Z36" s="28" t="str">
        <f ca="1">IFERROR((V36/(U36+S36))," ")</f>
        <v xml:space="preserve"> 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/>
      <c r="S41" s="2"/>
      <c r="T41" s="15"/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O8:O101" xr:uid="{998839CD-AEB5-134E-AC30-AFEBDDBEED33}">
      <formula1>$T$13:$T$15</formula1>
    </dataValidation>
    <dataValidation type="list" allowBlank="1" showInputMessage="1" showErrorMessage="1" sqref="R41:R55" xr:uid="{A0F3AFCD-DEF0-9741-853C-C0DD14B09D4F}">
      <formula1>$R$33:$R$36</formula1>
    </dataValidation>
    <dataValidation type="list" allowBlank="1" showInputMessage="1" showErrorMessage="1" sqref="T41:T55" xr:uid="{FC7031B3-7460-A24A-8279-DCFB3051890F}">
      <formula1>"技術,人為,過期,吃掉"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77C46-F34F-154F-A9AB-ECE09C6813FC}">
  <sheetPr codeName="工作表23"/>
  <dimension ref="A1:AD101"/>
  <sheetViews>
    <sheetView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SUMIF(表格1_334515253545556575859606162636465666768[欄1],"&lt;&gt;公關品",表格1_334515253545556575859606162636465666768[運費])</f>
        <v>0</v>
      </c>
      <c r="V9" s="244"/>
      <c r="W9" s="2"/>
      <c r="X9" s="1" t="s">
        <v>109</v>
      </c>
      <c r="Y9" s="213">
        <f>INDEX('20'!Y12:Z13,1,1)</f>
        <v>31984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'20'!Y33</f>
        <v>0</v>
      </c>
      <c r="T33" s="2"/>
      <c r="U33" s="2"/>
      <c r="V33" s="2">
        <f>SUMIF(R40:R55,"原味",S40:S55)</f>
        <v>0</v>
      </c>
      <c r="W33" s="114">
        <f ca="1">V24+U24+U19+U20*4</f>
        <v>0</v>
      </c>
      <c r="X33" s="114"/>
      <c r="Y33" s="13">
        <f ca="1">S33+U33-V33-W33</f>
        <v>0</v>
      </c>
      <c r="Z33" s="28" t="str">
        <f ca="1">IFERROR((V33/(U33+S33))," ")</f>
        <v xml:space="preserve"> 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'20'!Y34</f>
        <v>0</v>
      </c>
      <c r="T34" s="2"/>
      <c r="U34" s="2"/>
      <c r="V34" s="2">
        <f>SUMIF(R41:R55,"可可",S41:S55)</f>
        <v>0</v>
      </c>
      <c r="W34" s="114">
        <f ca="1">V25+U25+U19+U21*4</f>
        <v>0</v>
      </c>
      <c r="X34" s="114"/>
      <c r="Y34" s="13">
        <f ca="1">S34+U34-V34-W34</f>
        <v>0</v>
      </c>
      <c r="Z34" s="28" t="str">
        <f ca="1">IFERROR((V34/(U34+S34))," ")</f>
        <v xml:space="preserve"> 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'20'!Y35</f>
        <v>0</v>
      </c>
      <c r="T35" s="2"/>
      <c r="U35" s="2"/>
      <c r="V35" s="2">
        <f>SUMIF(R41:R55,"伯爵",S41:S55)</f>
        <v>0</v>
      </c>
      <c r="W35" s="114">
        <f ca="1">V26+U26+U19+U22*4</f>
        <v>0</v>
      </c>
      <c r="X35" s="114"/>
      <c r="Y35" s="13">
        <f ca="1">S35+U35-V35-W35</f>
        <v>0</v>
      </c>
      <c r="Z35" s="28" t="str">
        <f ca="1">IFERROR((V35/(U35+S35))," ")</f>
        <v xml:space="preserve"> 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'20'!Y36</f>
        <v>0</v>
      </c>
      <c r="T36" s="2"/>
      <c r="U36" s="2"/>
      <c r="V36" s="2">
        <f>SUMIF(R41:R55,"抹茶",S41:S55)</f>
        <v>0</v>
      </c>
      <c r="W36" s="114">
        <f ca="1">V27+U27+U19+U23*4</f>
        <v>0</v>
      </c>
      <c r="X36" s="114"/>
      <c r="Y36" s="13">
        <f ca="1">S36+U36-V36-W36</f>
        <v>0</v>
      </c>
      <c r="Z36" s="28" t="str">
        <f ca="1">IFERROR((V36/(U36+S36))," ")</f>
        <v xml:space="preserve"> 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/>
      <c r="S41" s="2"/>
      <c r="T41" s="15"/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T41:T55" xr:uid="{688A6755-EDA5-2B4E-A846-08037FB44713}">
      <formula1>"技術,人為,過期,吃掉"</formula1>
    </dataValidation>
    <dataValidation type="list" allowBlank="1" showInputMessage="1" showErrorMessage="1" sqref="R41:R55" xr:uid="{EB46D849-9070-F548-988D-99C49B48C744}">
      <formula1>$R$33:$R$36</formula1>
    </dataValidation>
    <dataValidation type="list" allowBlank="1" showInputMessage="1" showErrorMessage="1" sqref="O8:O101" xr:uid="{1B396BCE-EC01-054E-A81E-C6DB39F48916}">
      <formula1>$T$13:$T$15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98E4-8E73-0F43-B8F3-0779F49ADF38}">
  <sheetPr codeName="工作表24"/>
  <dimension ref="A1:AD101"/>
  <sheetViews>
    <sheetView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SUMIF(表格1_33451525354555657585960616263646566676869[欄1],"&lt;&gt;公關品",表格1_33451525354555657585960616263646566676869[運費])</f>
        <v>0</v>
      </c>
      <c r="V9" s="244"/>
      <c r="W9" s="2"/>
      <c r="X9" s="1" t="s">
        <v>109</v>
      </c>
      <c r="Y9" s="213">
        <f>INDEX('21'!Y12:Z13,1,1)</f>
        <v>31984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'21'!Y33</f>
        <v>0</v>
      </c>
      <c r="T33" s="2"/>
      <c r="U33" s="2"/>
      <c r="V33" s="2">
        <f>SUMIF(R40:R55,"原味",S40:S55)</f>
        <v>0</v>
      </c>
      <c r="W33" s="114">
        <f ca="1">V24+U24+U19+U20*4</f>
        <v>0</v>
      </c>
      <c r="X33" s="114"/>
      <c r="Y33" s="13">
        <f ca="1">S33+U33-V33-W33</f>
        <v>0</v>
      </c>
      <c r="Z33" s="28" t="str">
        <f ca="1">IFERROR((V33/(U33+S33))," ")</f>
        <v xml:space="preserve"> 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'21'!Y34</f>
        <v>0</v>
      </c>
      <c r="T34" s="2"/>
      <c r="U34" s="2"/>
      <c r="V34" s="2">
        <f>SUMIF(R41:R55,"可可",S41:S55)</f>
        <v>0</v>
      </c>
      <c r="W34" s="114">
        <f ca="1">V25+U25+U19+U21*4</f>
        <v>0</v>
      </c>
      <c r="X34" s="114"/>
      <c r="Y34" s="13">
        <f ca="1">S34+U34-V34-W34</f>
        <v>0</v>
      </c>
      <c r="Z34" s="28" t="str">
        <f ca="1">IFERROR((V34/(U34+S34))," ")</f>
        <v xml:space="preserve"> 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'21'!Y35</f>
        <v>0</v>
      </c>
      <c r="T35" s="2"/>
      <c r="U35" s="2"/>
      <c r="V35" s="2">
        <f>SUMIF(R41:R55,"伯爵",S41:S55)</f>
        <v>0</v>
      </c>
      <c r="W35" s="114">
        <f ca="1">V26+U26+U19+U22*4</f>
        <v>0</v>
      </c>
      <c r="X35" s="114"/>
      <c r="Y35" s="13">
        <f ca="1">S35+U35-V35-W35</f>
        <v>0</v>
      </c>
      <c r="Z35" s="28" t="str">
        <f ca="1">IFERROR((V35/(U35+S35))," ")</f>
        <v xml:space="preserve"> 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'21'!Y36</f>
        <v>0</v>
      </c>
      <c r="T36" s="2"/>
      <c r="U36" s="2"/>
      <c r="V36" s="2">
        <f>SUMIF(R41:R55,"抹茶",S41:S55)</f>
        <v>0</v>
      </c>
      <c r="W36" s="114">
        <f ca="1">V27+U27+U19+U23*4</f>
        <v>0</v>
      </c>
      <c r="X36" s="114"/>
      <c r="Y36" s="13">
        <f ca="1">S36+U36-V36-W36</f>
        <v>0</v>
      </c>
      <c r="Z36" s="28" t="str">
        <f ca="1">IFERROR((V36/(U36+S36))," ")</f>
        <v xml:space="preserve"> 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/>
      <c r="S41" s="2"/>
      <c r="T41" s="15"/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O8:O101" xr:uid="{0CE734E2-D34D-A84F-82B8-2D6A205935DF}">
      <formula1>$T$13:$T$15</formula1>
    </dataValidation>
    <dataValidation type="list" allowBlank="1" showInputMessage="1" showErrorMessage="1" sqref="R41:R55" xr:uid="{B20D6218-0FF3-E348-B298-A810E0C22D88}">
      <formula1>$R$33:$R$36</formula1>
    </dataValidation>
    <dataValidation type="list" allowBlank="1" showInputMessage="1" showErrorMessage="1" sqref="T41:T55" xr:uid="{01C92F8E-766F-214B-AE8D-13D85381874F}">
      <formula1>"技術,人為,過期,吃掉"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58EA1-6E7B-CE42-ABA3-2CBCE8501064}">
  <sheetPr codeName="工作表25"/>
  <dimension ref="A1:AD101"/>
  <sheetViews>
    <sheetView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SUMIF(表格1_3345152535455565758596061626364656667686970[欄1],"&lt;&gt;公關品",表格1_3345152535455565758596061626364656667686970[運費])</f>
        <v>0</v>
      </c>
      <c r="V9" s="244"/>
      <c r="W9" s="2"/>
      <c r="X9" s="1" t="s">
        <v>109</v>
      </c>
      <c r="Y9" s="213">
        <f>INDEX('22'!Y12:Z13,1,1)</f>
        <v>31984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'22'!Y33</f>
        <v>0</v>
      </c>
      <c r="T33" s="2"/>
      <c r="U33" s="2"/>
      <c r="V33" s="2">
        <f>SUMIF(R40:R55,"原味",S40:S55)</f>
        <v>0</v>
      </c>
      <c r="W33" s="114">
        <f ca="1">V24+U24+U19+U20*4</f>
        <v>0</v>
      </c>
      <c r="X33" s="114"/>
      <c r="Y33" s="13">
        <f ca="1">S33+U33-V33-W33</f>
        <v>0</v>
      </c>
      <c r="Z33" s="28" t="str">
        <f ca="1">IFERROR((V33/(U33+S33))," ")</f>
        <v xml:space="preserve"> 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'22'!Y34</f>
        <v>0</v>
      </c>
      <c r="T34" s="2"/>
      <c r="U34" s="2"/>
      <c r="V34" s="2">
        <f>SUMIF(R41:R55,"可可",S41:S55)</f>
        <v>0</v>
      </c>
      <c r="W34" s="114">
        <f ca="1">V25+U25+U19+U21*4</f>
        <v>0</v>
      </c>
      <c r="X34" s="114"/>
      <c r="Y34" s="13">
        <f ca="1">S34+U34-V34-W34</f>
        <v>0</v>
      </c>
      <c r="Z34" s="28" t="str">
        <f ca="1">IFERROR((V34/(U34+S34))," ")</f>
        <v xml:space="preserve"> 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'22'!Y35</f>
        <v>0</v>
      </c>
      <c r="T35" s="2"/>
      <c r="U35" s="2"/>
      <c r="V35" s="2">
        <f>SUMIF(R41:R55,"伯爵",S41:S55)</f>
        <v>0</v>
      </c>
      <c r="W35" s="114">
        <f ca="1">V26+U26+U19+U22*4</f>
        <v>0</v>
      </c>
      <c r="X35" s="114"/>
      <c r="Y35" s="13">
        <f ca="1">S35+U35-V35-W35</f>
        <v>0</v>
      </c>
      <c r="Z35" s="28" t="str">
        <f ca="1">IFERROR((V35/(U35+S35))," ")</f>
        <v xml:space="preserve"> 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'22'!Y36</f>
        <v>0</v>
      </c>
      <c r="T36" s="2"/>
      <c r="U36" s="2"/>
      <c r="V36" s="2">
        <f>SUMIF(R41:R55,"抹茶",S41:S55)</f>
        <v>0</v>
      </c>
      <c r="W36" s="114">
        <f ca="1">V27+U27+U19+U23*4</f>
        <v>0</v>
      </c>
      <c r="X36" s="114"/>
      <c r="Y36" s="13">
        <f ca="1">S36+U36-V36-W36</f>
        <v>0</v>
      </c>
      <c r="Z36" s="28" t="str">
        <f ca="1">IFERROR((V36/(U36+S36))," ")</f>
        <v xml:space="preserve"> 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/>
      <c r="S41" s="2"/>
      <c r="T41" s="15"/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T41:T55" xr:uid="{CCC046C9-1A34-C946-BD2B-A2278C7D0593}">
      <formula1>"技術,人為,過期,吃掉"</formula1>
    </dataValidation>
    <dataValidation type="list" allowBlank="1" showInputMessage="1" showErrorMessage="1" sqref="R41:R55" xr:uid="{4C1A1B70-2C98-AB47-AC8F-7CA991BF3CAC}">
      <formula1>$R$33:$R$36</formula1>
    </dataValidation>
    <dataValidation type="list" allowBlank="1" showInputMessage="1" showErrorMessage="1" sqref="O8:O101" xr:uid="{83B11BC4-7FD0-4B41-AFF1-053AA7E6E94E}">
      <formula1>$T$13:$T$15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BCBD0-D803-3F42-9A55-D4773C569050}">
  <sheetPr codeName="工作表26"/>
  <dimension ref="A1:AD101"/>
  <sheetViews>
    <sheetView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SUMIF(表格1_334515253545556575859606162636465666768697071[欄1],"&lt;&gt;公關品",表格1_334515253545556575859606162636465666768697071[運費])</f>
        <v>0</v>
      </c>
      <c r="V9" s="244"/>
      <c r="W9" s="2"/>
      <c r="X9" s="1" t="s">
        <v>109</v>
      </c>
      <c r="Y9" s="213">
        <f>INDEX('23'!Y12:Z13,1,1)</f>
        <v>31984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'23'!Y33</f>
        <v>0</v>
      </c>
      <c r="T33" s="2"/>
      <c r="U33" s="2"/>
      <c r="V33" s="2">
        <f>SUMIF(R40:R55,"原味",S40:S55)</f>
        <v>0</v>
      </c>
      <c r="W33" s="114">
        <f ca="1">V24+U24+U19+U20*4</f>
        <v>0</v>
      </c>
      <c r="X33" s="114"/>
      <c r="Y33" s="13">
        <f ca="1">S33+U33-V33-W33</f>
        <v>0</v>
      </c>
      <c r="Z33" s="28" t="str">
        <f ca="1">IFERROR((V33/(U33+S33))," ")</f>
        <v xml:space="preserve"> 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'23'!Y34</f>
        <v>0</v>
      </c>
      <c r="T34" s="2"/>
      <c r="U34" s="2"/>
      <c r="V34" s="2">
        <f>SUMIF(R41:R55,"可可",S41:S55)</f>
        <v>0</v>
      </c>
      <c r="W34" s="114">
        <f ca="1">V25+U25+U19+U21*4</f>
        <v>0</v>
      </c>
      <c r="X34" s="114"/>
      <c r="Y34" s="13">
        <f ca="1">S34+U34-V34-W34</f>
        <v>0</v>
      </c>
      <c r="Z34" s="28" t="str">
        <f ca="1">IFERROR((V34/(U34+S34))," ")</f>
        <v xml:space="preserve"> 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'23'!Y35</f>
        <v>0</v>
      </c>
      <c r="T35" s="2"/>
      <c r="U35" s="2"/>
      <c r="V35" s="2">
        <f>SUMIF(R41:R55,"伯爵",S41:S55)</f>
        <v>0</v>
      </c>
      <c r="W35" s="114">
        <f ca="1">V26+U26+U19+U22*4</f>
        <v>0</v>
      </c>
      <c r="X35" s="114"/>
      <c r="Y35" s="13">
        <f ca="1">S35+U35-V35-W35</f>
        <v>0</v>
      </c>
      <c r="Z35" s="28" t="str">
        <f ca="1">IFERROR((V35/(U35+S35))," ")</f>
        <v xml:space="preserve"> 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'23'!Y36</f>
        <v>0</v>
      </c>
      <c r="T36" s="2"/>
      <c r="U36" s="2"/>
      <c r="V36" s="2">
        <f>SUMIF(R41:R55,"抹茶",S41:S55)</f>
        <v>0</v>
      </c>
      <c r="W36" s="114">
        <f ca="1">V27+U27+U19+U23*4</f>
        <v>0</v>
      </c>
      <c r="X36" s="114"/>
      <c r="Y36" s="13">
        <f ca="1">S36+U36-V36-W36</f>
        <v>0</v>
      </c>
      <c r="Z36" s="28" t="str">
        <f ca="1">IFERROR((V36/(U36+S36))," ")</f>
        <v xml:space="preserve"> 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/>
      <c r="S41" s="2"/>
      <c r="T41" s="15"/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O8:O101" xr:uid="{629E93DE-20B5-004E-B0A3-F69C187FA0EC}">
      <formula1>$T$13:$T$15</formula1>
    </dataValidation>
    <dataValidation type="list" allowBlank="1" showInputMessage="1" showErrorMessage="1" sqref="R41:R55" xr:uid="{6243B510-59AC-BB4D-B9DD-177ADD110DCA}">
      <formula1>$R$33:$R$36</formula1>
    </dataValidation>
    <dataValidation type="list" allowBlank="1" showInputMessage="1" showErrorMessage="1" sqref="T41:T55" xr:uid="{32321B5A-4624-564A-BF68-3BC9CD376573}">
      <formula1>"技術,人為,過期,吃掉"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EC46-7491-AD4A-BF7C-EAFCD02BA030}">
  <sheetPr codeName="工作表27"/>
  <dimension ref="A1:AD101"/>
  <sheetViews>
    <sheetView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SUMIF(表格1_33451525354555657585960616263646566676869707172[欄1],"&lt;&gt;公關品",表格1_33451525354555657585960616263646566676869707172[運費])</f>
        <v>0</v>
      </c>
      <c r="V9" s="244"/>
      <c r="W9" s="2"/>
      <c r="X9" s="1" t="s">
        <v>109</v>
      </c>
      <c r="Y9" s="213">
        <f>INDEX('24'!Y12:Z13,1,1)</f>
        <v>31984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'24'!Y33</f>
        <v>0</v>
      </c>
      <c r="T33" s="2"/>
      <c r="U33" s="2"/>
      <c r="V33" s="2">
        <f>SUMIF(R40:R55,"原味",S40:S55)</f>
        <v>0</v>
      </c>
      <c r="W33" s="114">
        <f ca="1">V24+U24+U19+U20*4</f>
        <v>0</v>
      </c>
      <c r="X33" s="114"/>
      <c r="Y33" s="13">
        <f ca="1">S33+U33-V33-W33</f>
        <v>0</v>
      </c>
      <c r="Z33" s="28" t="str">
        <f ca="1">IFERROR((V33/(U33+S33))," ")</f>
        <v xml:space="preserve"> 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'24'!Y34</f>
        <v>0</v>
      </c>
      <c r="T34" s="2"/>
      <c r="U34" s="2"/>
      <c r="V34" s="2">
        <f>SUMIF(R41:R55,"可可",S41:S55)</f>
        <v>0</v>
      </c>
      <c r="W34" s="114">
        <f ca="1">V25+U25+U19+U21*4</f>
        <v>0</v>
      </c>
      <c r="X34" s="114"/>
      <c r="Y34" s="13">
        <f ca="1">S34+U34-V34-W34</f>
        <v>0</v>
      </c>
      <c r="Z34" s="28" t="str">
        <f ca="1">IFERROR((V34/(U34+S34))," ")</f>
        <v xml:space="preserve"> 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'24'!Y35</f>
        <v>0</v>
      </c>
      <c r="T35" s="2"/>
      <c r="U35" s="2"/>
      <c r="V35" s="2">
        <f>SUMIF(R41:R55,"伯爵",S41:S55)</f>
        <v>0</v>
      </c>
      <c r="W35" s="114">
        <f ca="1">V26+U26+U19+U22*4</f>
        <v>0</v>
      </c>
      <c r="X35" s="114"/>
      <c r="Y35" s="13">
        <f ca="1">S35+U35-V35-W35</f>
        <v>0</v>
      </c>
      <c r="Z35" s="28" t="str">
        <f ca="1">IFERROR((V35/(U35+S35))," ")</f>
        <v xml:space="preserve"> 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'24'!Y36</f>
        <v>0</v>
      </c>
      <c r="T36" s="2"/>
      <c r="U36" s="2"/>
      <c r="V36" s="2">
        <f>SUMIF(R41:R55,"抹茶",S41:S55)</f>
        <v>0</v>
      </c>
      <c r="W36" s="114">
        <f ca="1">V27+U27+U19+U23*4</f>
        <v>0</v>
      </c>
      <c r="X36" s="114"/>
      <c r="Y36" s="13">
        <f ca="1">S36+U36-V36-W36</f>
        <v>0</v>
      </c>
      <c r="Z36" s="28" t="str">
        <f ca="1">IFERROR((V36/(U36+S36))," ")</f>
        <v xml:space="preserve"> 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/>
      <c r="S41" s="2"/>
      <c r="T41" s="15"/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T41:T55" xr:uid="{A0583770-A45D-0340-A3F1-E9AF5F67DA49}">
      <formula1>"技術,人為,過期,吃掉"</formula1>
    </dataValidation>
    <dataValidation type="list" allowBlank="1" showInputMessage="1" showErrorMessage="1" sqref="R41:R55" xr:uid="{60E369C6-B8BE-3746-B662-09BD5DBE1D08}">
      <formula1>$R$33:$R$36</formula1>
    </dataValidation>
    <dataValidation type="list" allowBlank="1" showInputMessage="1" showErrorMessage="1" sqref="O8:O101" xr:uid="{F2EFE7DA-BEA4-8F49-B0CB-E4DA01B1960D}">
      <formula1>$T$13:$T$15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79C3-5CAB-FF44-8D5A-350CA478BA55}">
  <sheetPr codeName="工作表28"/>
  <dimension ref="A1:AD101"/>
  <sheetViews>
    <sheetView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SUMIF(表格1_3345152535455565758596061626364656667686970717273[欄1],"&lt;&gt;公關品",表格1_3345152535455565758596061626364656667686970717273[運費])</f>
        <v>0</v>
      </c>
      <c r="V9" s="244"/>
      <c r="W9" s="2"/>
      <c r="X9" s="1" t="s">
        <v>109</v>
      </c>
      <c r="Y9" s="213">
        <f>INDEX('25'!Y12:Z13,1,1)</f>
        <v>31984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'25'!Y33</f>
        <v>0</v>
      </c>
      <c r="T33" s="2"/>
      <c r="U33" s="2"/>
      <c r="V33" s="2">
        <f>SUMIF(R40:R55,"原味",S40:S55)</f>
        <v>0</v>
      </c>
      <c r="W33" s="114">
        <f ca="1">V24+U24+U19+U20*4</f>
        <v>0</v>
      </c>
      <c r="X33" s="114"/>
      <c r="Y33" s="13">
        <f ca="1">S33+U33-V33-W33</f>
        <v>0</v>
      </c>
      <c r="Z33" s="28" t="str">
        <f ca="1">IFERROR((V33/(U33+S33))," ")</f>
        <v xml:space="preserve"> 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'25'!Y34</f>
        <v>0</v>
      </c>
      <c r="T34" s="2"/>
      <c r="U34" s="2"/>
      <c r="V34" s="2">
        <f>SUMIF(R41:R55,"可可",S41:S55)</f>
        <v>0</v>
      </c>
      <c r="W34" s="114">
        <f ca="1">V25+U25+U19+U21*4</f>
        <v>0</v>
      </c>
      <c r="X34" s="114"/>
      <c r="Y34" s="13">
        <f ca="1">S34+U34-V34-W34</f>
        <v>0</v>
      </c>
      <c r="Z34" s="28" t="str">
        <f ca="1">IFERROR((V34/(U34+S34))," ")</f>
        <v xml:space="preserve"> 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'25'!Y35</f>
        <v>0</v>
      </c>
      <c r="T35" s="2"/>
      <c r="U35" s="2"/>
      <c r="V35" s="2">
        <f>SUMIF(R41:R55,"伯爵",S41:S55)</f>
        <v>0</v>
      </c>
      <c r="W35" s="114">
        <f ca="1">V26+U26+U19+U22*4</f>
        <v>0</v>
      </c>
      <c r="X35" s="114"/>
      <c r="Y35" s="13">
        <f ca="1">S35+U35-V35-W35</f>
        <v>0</v>
      </c>
      <c r="Z35" s="28" t="str">
        <f ca="1">IFERROR((V35/(U35+S35))," ")</f>
        <v xml:space="preserve"> 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'25'!Y36</f>
        <v>0</v>
      </c>
      <c r="T36" s="2"/>
      <c r="U36" s="2"/>
      <c r="V36" s="2">
        <f>SUMIF(R41:R55,"抹茶",S41:S55)</f>
        <v>0</v>
      </c>
      <c r="W36" s="114">
        <f ca="1">V27+U27+U19+U23*4</f>
        <v>0</v>
      </c>
      <c r="X36" s="114"/>
      <c r="Y36" s="13">
        <f ca="1">S36+U36-V36-W36</f>
        <v>0</v>
      </c>
      <c r="Z36" s="28" t="str">
        <f ca="1">IFERROR((V36/(U36+S36))," ")</f>
        <v xml:space="preserve"> 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/>
      <c r="S41" s="2"/>
      <c r="T41" s="15"/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O8:O101" xr:uid="{1F72F1F1-26C8-904B-980C-9FC897E1BC96}">
      <formula1>$T$13:$T$15</formula1>
    </dataValidation>
    <dataValidation type="list" allowBlank="1" showInputMessage="1" showErrorMessage="1" sqref="R41:R55" xr:uid="{5E2F0819-2D0F-3143-8BB2-FD1DE1994AC8}">
      <formula1>$R$33:$R$36</formula1>
    </dataValidation>
    <dataValidation type="list" allowBlank="1" showInputMessage="1" showErrorMessage="1" sqref="T41:T55" xr:uid="{1AD9BDEA-B5DA-3F43-BA5E-31994FA7AD73}">
      <formula1>"技術,人為,過期,吃掉"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95C9-24B9-FC47-9F57-45411E1CCF6E}">
  <sheetPr codeName="工作表29"/>
  <dimension ref="A1:AD101"/>
  <sheetViews>
    <sheetView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SUMIF(表格1_334515253545556575859606162636465666768697071727374[欄1],"&lt;&gt;公關品",表格1_334515253545556575859606162636465666768697071727374[運費])</f>
        <v>0</v>
      </c>
      <c r="V9" s="244"/>
      <c r="W9" s="2"/>
      <c r="X9" s="1" t="s">
        <v>109</v>
      </c>
      <c r="Y9" s="213">
        <f>INDEX('26'!Y12:Z13,1,1)</f>
        <v>31984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'26'!Y33</f>
        <v>0</v>
      </c>
      <c r="T33" s="2"/>
      <c r="U33" s="2"/>
      <c r="V33" s="2">
        <f>SUMIF(R40:R55,"原味",S40:S55)</f>
        <v>0</v>
      </c>
      <c r="W33" s="114">
        <f ca="1">V24+U24+U19+U20*4</f>
        <v>0</v>
      </c>
      <c r="X33" s="114"/>
      <c r="Y33" s="13">
        <f ca="1">S33+U33-V33-W33</f>
        <v>0</v>
      </c>
      <c r="Z33" s="28" t="str">
        <f ca="1">IFERROR((V33/(U33+S33))," ")</f>
        <v xml:space="preserve"> 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'26'!Y34</f>
        <v>0</v>
      </c>
      <c r="T34" s="2"/>
      <c r="U34" s="2"/>
      <c r="V34" s="2">
        <f>SUMIF(R41:R55,"可可",S41:S55)</f>
        <v>0</v>
      </c>
      <c r="W34" s="114">
        <f ca="1">V25+U25+U19+U21*4</f>
        <v>0</v>
      </c>
      <c r="X34" s="114"/>
      <c r="Y34" s="13">
        <f ca="1">S34+U34-V34-W34</f>
        <v>0</v>
      </c>
      <c r="Z34" s="28" t="str">
        <f ca="1">IFERROR((V34/(U34+S34))," ")</f>
        <v xml:space="preserve"> 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'26'!Y35</f>
        <v>0</v>
      </c>
      <c r="T35" s="2"/>
      <c r="U35" s="2"/>
      <c r="V35" s="2">
        <f>SUMIF(R41:R55,"伯爵",S41:S55)</f>
        <v>0</v>
      </c>
      <c r="W35" s="114">
        <f ca="1">V26+U26+U19+U22*4</f>
        <v>0</v>
      </c>
      <c r="X35" s="114"/>
      <c r="Y35" s="13">
        <f ca="1">S35+U35-V35-W35</f>
        <v>0</v>
      </c>
      <c r="Z35" s="28" t="str">
        <f ca="1">IFERROR((V35/(U35+S35))," ")</f>
        <v xml:space="preserve"> 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'26'!Y36</f>
        <v>0</v>
      </c>
      <c r="T36" s="2"/>
      <c r="U36" s="2"/>
      <c r="V36" s="2">
        <f>SUMIF(R41:R55,"抹茶",S41:S55)</f>
        <v>0</v>
      </c>
      <c r="W36" s="114">
        <f ca="1">V27+U27+U19+U23*4</f>
        <v>0</v>
      </c>
      <c r="X36" s="114"/>
      <c r="Y36" s="13">
        <f ca="1">S36+U36-V36-W36</f>
        <v>0</v>
      </c>
      <c r="Z36" s="28" t="str">
        <f ca="1">IFERROR((V36/(U36+S36))," ")</f>
        <v xml:space="preserve"> 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/>
      <c r="S41" s="2"/>
      <c r="T41" s="15"/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T41:T55" xr:uid="{76F7CD5E-13C2-764B-95BA-99738CE5447F}">
      <formula1>"技術,人為,過期,吃掉"</formula1>
    </dataValidation>
    <dataValidation type="list" allowBlank="1" showInputMessage="1" showErrorMessage="1" sqref="R41:R55" xr:uid="{7104C4DC-4D30-E444-86B0-AFB4D194E1A9}">
      <formula1>$R$33:$R$36</formula1>
    </dataValidation>
    <dataValidation type="list" allowBlank="1" showInputMessage="1" showErrorMessage="1" sqref="O8:O101" xr:uid="{89B57127-1A30-7E4F-AA56-6D90D8E999DB}">
      <formula1>$T$13:$T$15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5AE8-BC63-514B-AA05-8284AB66CEBF}">
  <sheetPr codeName="工作表30"/>
  <dimension ref="A1:AD101"/>
  <sheetViews>
    <sheetView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SUMIF(表格1_33451525354555657585960616263646566676869707172737475[欄1],"&lt;&gt;公關品",表格1_33451525354555657585960616263646566676869707172737475[運費])</f>
        <v>0</v>
      </c>
      <c r="V9" s="244"/>
      <c r="W9" s="2"/>
      <c r="X9" s="1" t="s">
        <v>109</v>
      </c>
      <c r="Y9" s="213">
        <f>INDEX('27'!Y12:Z13,1,1)</f>
        <v>31984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'27'!Y33</f>
        <v>0</v>
      </c>
      <c r="T33" s="2"/>
      <c r="U33" s="2"/>
      <c r="V33" s="2">
        <f>SUMIF(R40:R55,"原味",S40:S55)</f>
        <v>0</v>
      </c>
      <c r="W33" s="114">
        <f ca="1">V24+U24+U19+U20*4</f>
        <v>0</v>
      </c>
      <c r="X33" s="114"/>
      <c r="Y33" s="13">
        <f ca="1">S33+U33-V33-W33</f>
        <v>0</v>
      </c>
      <c r="Z33" s="28" t="str">
        <f ca="1">IFERROR((V33/(U33+S33))," ")</f>
        <v xml:space="preserve"> 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'27'!Y34</f>
        <v>0</v>
      </c>
      <c r="T34" s="2"/>
      <c r="U34" s="2"/>
      <c r="V34" s="2">
        <f>SUMIF(R41:R55,"可可",S41:S55)</f>
        <v>0</v>
      </c>
      <c r="W34" s="114">
        <f ca="1">V25+U25+U19+U21*4</f>
        <v>0</v>
      </c>
      <c r="X34" s="114"/>
      <c r="Y34" s="13">
        <f ca="1">S34+U34-V34-W34</f>
        <v>0</v>
      </c>
      <c r="Z34" s="28" t="str">
        <f ca="1">IFERROR((V34/(U34+S34))," ")</f>
        <v xml:space="preserve"> 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'27'!Y35</f>
        <v>0</v>
      </c>
      <c r="T35" s="2"/>
      <c r="U35" s="2"/>
      <c r="V35" s="2">
        <f>SUMIF(R41:R55,"伯爵",S41:S55)</f>
        <v>0</v>
      </c>
      <c r="W35" s="114">
        <f ca="1">V26+U26+U19+U22*4</f>
        <v>0</v>
      </c>
      <c r="X35" s="114"/>
      <c r="Y35" s="13">
        <f ca="1">S35+U35-V35-W35</f>
        <v>0</v>
      </c>
      <c r="Z35" s="28" t="str">
        <f ca="1">IFERROR((V35/(U35+S35))," ")</f>
        <v xml:space="preserve"> 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'27'!Y36</f>
        <v>0</v>
      </c>
      <c r="T36" s="2"/>
      <c r="U36" s="2"/>
      <c r="V36" s="2">
        <f>SUMIF(R41:R55,"抹茶",S41:S55)</f>
        <v>0</v>
      </c>
      <c r="W36" s="114">
        <f ca="1">V27+U27+U19+U23*4</f>
        <v>0</v>
      </c>
      <c r="X36" s="114"/>
      <c r="Y36" s="13">
        <f ca="1">S36+U36-V36-W36</f>
        <v>0</v>
      </c>
      <c r="Z36" s="28" t="str">
        <f ca="1">IFERROR((V36/(U36+S36))," ")</f>
        <v xml:space="preserve"> 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/>
      <c r="S41" s="2"/>
      <c r="T41" s="15"/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O8:O101" xr:uid="{4614A23B-A8DC-894B-90ED-AADC1AB36FF7}">
      <formula1>$T$13:$T$15</formula1>
    </dataValidation>
    <dataValidation type="list" allowBlank="1" showInputMessage="1" showErrorMessage="1" sqref="R41:R55" xr:uid="{F6EE48AF-D7C2-B843-ACF0-548F06CAD059}">
      <formula1>$R$33:$R$36</formula1>
    </dataValidation>
    <dataValidation type="list" allowBlank="1" showInputMessage="1" showErrorMessage="1" sqref="T41:T55" xr:uid="{E95DB4D7-34F7-D346-B288-AF5F195E3603}">
      <formula1>"技術,人為,過期,吃掉"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33194-37A6-ED40-96B7-F90F587F1D91}">
  <sheetPr codeName="工作表31"/>
  <dimension ref="A1:AD101"/>
  <sheetViews>
    <sheetView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SUMIF(表格1_3345152535455565758596061626364656667686970717273747576[欄1],"&lt;&gt;公關品",表格1_3345152535455565758596061626364656667686970717273747576[運費])</f>
        <v>0</v>
      </c>
      <c r="V9" s="244"/>
      <c r="W9" s="2"/>
      <c r="X9" s="1" t="s">
        <v>109</v>
      </c>
      <c r="Y9" s="213">
        <f>INDEX('28'!Y12:Z13,1,1)</f>
        <v>31984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'28'!Y33</f>
        <v>0</v>
      </c>
      <c r="T33" s="2"/>
      <c r="U33" s="2"/>
      <c r="V33" s="2">
        <f>SUMIF(R40:R55,"原味",S40:S55)</f>
        <v>0</v>
      </c>
      <c r="W33" s="114">
        <f ca="1">V24+U24+U19+U20*4</f>
        <v>0</v>
      </c>
      <c r="X33" s="114"/>
      <c r="Y33" s="13">
        <f ca="1">S33+U33-V33-W33</f>
        <v>0</v>
      </c>
      <c r="Z33" s="28" t="str">
        <f ca="1">IFERROR((V33/(U33+S33))," ")</f>
        <v xml:space="preserve"> 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'28'!Y34</f>
        <v>0</v>
      </c>
      <c r="T34" s="2"/>
      <c r="U34" s="2"/>
      <c r="V34" s="2">
        <f>SUMIF(R41:R55,"可可",S41:S55)</f>
        <v>0</v>
      </c>
      <c r="W34" s="114">
        <f ca="1">V25+U25+U19+U21*4</f>
        <v>0</v>
      </c>
      <c r="X34" s="114"/>
      <c r="Y34" s="13">
        <f ca="1">S34+U34-V34-W34</f>
        <v>0</v>
      </c>
      <c r="Z34" s="28" t="str">
        <f ca="1">IFERROR((V34/(U34+S34))," ")</f>
        <v xml:space="preserve"> 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'28'!Y35</f>
        <v>0</v>
      </c>
      <c r="T35" s="2"/>
      <c r="U35" s="2"/>
      <c r="V35" s="2">
        <f>SUMIF(R41:R55,"伯爵",S41:S55)</f>
        <v>0</v>
      </c>
      <c r="W35" s="114">
        <f ca="1">V26+U26+U19+U22*4</f>
        <v>0</v>
      </c>
      <c r="X35" s="114"/>
      <c r="Y35" s="13">
        <f ca="1">S35+U35-V35-W35</f>
        <v>0</v>
      </c>
      <c r="Z35" s="28" t="str">
        <f ca="1">IFERROR((V35/(U35+S35))," ")</f>
        <v xml:space="preserve"> 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'28'!Y36</f>
        <v>0</v>
      </c>
      <c r="T36" s="2"/>
      <c r="U36" s="2"/>
      <c r="V36" s="2">
        <f>SUMIF(R41:R55,"抹茶",S41:S55)</f>
        <v>0</v>
      </c>
      <c r="W36" s="114">
        <f ca="1">V27+U27+U19+U23*4</f>
        <v>0</v>
      </c>
      <c r="X36" s="114"/>
      <c r="Y36" s="13">
        <f ca="1">S36+U36-V36-W36</f>
        <v>0</v>
      </c>
      <c r="Z36" s="28" t="str">
        <f ca="1">IFERROR((V36/(U36+S36))," ")</f>
        <v xml:space="preserve"> 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/>
      <c r="S41" s="2"/>
      <c r="T41" s="15"/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T41:T55" xr:uid="{FC6A7FDD-B5D6-314E-8A56-E45CD191B037}">
      <formula1>"技術,人為,過期,吃掉"</formula1>
    </dataValidation>
    <dataValidation type="list" allowBlank="1" showInputMessage="1" showErrorMessage="1" sqref="R41:R55" xr:uid="{CF6BBF5D-80BF-0649-BEC1-9575CA69550D}">
      <formula1>$R$33:$R$36</formula1>
    </dataValidation>
    <dataValidation type="list" allowBlank="1" showInputMessage="1" showErrorMessage="1" sqref="O8:O101" xr:uid="{3BAFD0BF-DC23-2B4B-9081-860EBAB15772}">
      <formula1>$T$13:$T$15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4EAC-CEE5-CC42-8A63-25E78A6C7DA9}">
  <sheetPr codeName="工作表32"/>
  <dimension ref="A1:AD101"/>
  <sheetViews>
    <sheetView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SUMIF(表格1_334515253545556575859606162636465666768697071727374757677[欄1],"&lt;&gt;公關品",表格1_334515253545556575859606162636465666768697071727374757677[運費])</f>
        <v>0</v>
      </c>
      <c r="V9" s="244"/>
      <c r="W9" s="2"/>
      <c r="X9" s="1" t="s">
        <v>109</v>
      </c>
      <c r="Y9" s="213">
        <f>INDEX('29'!Y12:Z13,1,1)</f>
        <v>31984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'29'!Y33</f>
        <v>0</v>
      </c>
      <c r="T33" s="2"/>
      <c r="U33" s="2"/>
      <c r="V33" s="2">
        <f>SUMIF(R40:R55,"原味",S40:S55)</f>
        <v>0</v>
      </c>
      <c r="W33" s="114">
        <f ca="1">V24+U24+U19+U20*4</f>
        <v>0</v>
      </c>
      <c r="X33" s="114"/>
      <c r="Y33" s="13">
        <f ca="1">S33+U33-V33-W33</f>
        <v>0</v>
      </c>
      <c r="Z33" s="28" t="str">
        <f ca="1">IFERROR((V33/(U33+S33))," ")</f>
        <v xml:space="preserve"> 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'29'!Y34</f>
        <v>0</v>
      </c>
      <c r="T34" s="2"/>
      <c r="U34" s="2"/>
      <c r="V34" s="2">
        <f>SUMIF(R41:R55,"可可",S41:S55)</f>
        <v>0</v>
      </c>
      <c r="W34" s="114">
        <f ca="1">V25+U25+U19+U21*4</f>
        <v>0</v>
      </c>
      <c r="X34" s="114"/>
      <c r="Y34" s="13">
        <f ca="1">S34+U34-V34-W34</f>
        <v>0</v>
      </c>
      <c r="Z34" s="28" t="str">
        <f ca="1">IFERROR((V34/(U34+S34))," ")</f>
        <v xml:space="preserve"> 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'29'!Y35</f>
        <v>0</v>
      </c>
      <c r="T35" s="2"/>
      <c r="U35" s="2"/>
      <c r="V35" s="2">
        <f>SUMIF(R41:R55,"伯爵",S41:S55)</f>
        <v>0</v>
      </c>
      <c r="W35" s="114">
        <f ca="1">V26+U26+U19+U22*4</f>
        <v>0</v>
      </c>
      <c r="X35" s="114"/>
      <c r="Y35" s="13">
        <f ca="1">S35+U35-V35-W35</f>
        <v>0</v>
      </c>
      <c r="Z35" s="28" t="str">
        <f ca="1">IFERROR((V35/(U35+S35))," ")</f>
        <v xml:space="preserve"> 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'29'!Y36</f>
        <v>0</v>
      </c>
      <c r="T36" s="2"/>
      <c r="U36" s="2"/>
      <c r="V36" s="2">
        <f>SUMIF(R41:R55,"抹茶",S41:S55)</f>
        <v>0</v>
      </c>
      <c r="W36" s="114">
        <f ca="1">V27+U27+U19+U23*4</f>
        <v>0</v>
      </c>
      <c r="X36" s="114"/>
      <c r="Y36" s="13">
        <f ca="1">S36+U36-V36-W36</f>
        <v>0</v>
      </c>
      <c r="Z36" s="28" t="str">
        <f ca="1">IFERROR((V36/(U36+S36))," ")</f>
        <v xml:space="preserve"> 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/>
      <c r="S41" s="2"/>
      <c r="T41" s="15"/>
      <c r="U41" s="182"/>
      <c r="V41" s="182"/>
      <c r="W41" s="182"/>
      <c r="X41" s="182"/>
      <c r="Y41" s="182"/>
      <c r="Z41" s="183"/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59">
    <mergeCell ref="A1:Z3"/>
    <mergeCell ref="A5:P5"/>
    <mergeCell ref="R5:Z7"/>
    <mergeCell ref="B6:F6"/>
    <mergeCell ref="G6:J6"/>
    <mergeCell ref="K6:P6"/>
    <mergeCell ref="R8:V8"/>
    <mergeCell ref="X16:Z16"/>
    <mergeCell ref="R9:S9"/>
    <mergeCell ref="U9:V9"/>
    <mergeCell ref="Y17:Z17"/>
    <mergeCell ref="R10:S10"/>
    <mergeCell ref="U10:V10"/>
    <mergeCell ref="W32:X32"/>
    <mergeCell ref="R11:S11"/>
    <mergeCell ref="U11:V11"/>
    <mergeCell ref="Y19:Z19"/>
    <mergeCell ref="R12:S15"/>
    <mergeCell ref="T12:U12"/>
    <mergeCell ref="Y20:Z20"/>
    <mergeCell ref="Y21:Z21"/>
    <mergeCell ref="Y18:Z18"/>
    <mergeCell ref="R17:V17"/>
    <mergeCell ref="R19:R23"/>
    <mergeCell ref="V20:V23"/>
    <mergeCell ref="R24:R27"/>
    <mergeCell ref="R30:Z31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X22:Z22"/>
    <mergeCell ref="X8:Z8"/>
    <mergeCell ref="Y9:Z9"/>
    <mergeCell ref="Y10:Z10"/>
    <mergeCell ref="Y11:Z11"/>
    <mergeCell ref="X12:X13"/>
    <mergeCell ref="Y12:Z13"/>
  </mergeCells>
  <phoneticPr fontId="2" type="noConversion"/>
  <dataValidations count="3">
    <dataValidation type="list" allowBlank="1" showInputMessage="1" showErrorMessage="1" sqref="O8:O101" xr:uid="{BC1AE01B-8ED6-3345-BB89-63C6B67F2B4A}">
      <formula1>$T$13:$T$15</formula1>
    </dataValidation>
    <dataValidation type="list" allowBlank="1" showInputMessage="1" showErrorMessage="1" sqref="R41:R55" xr:uid="{31403A56-DDCF-C94C-B4DC-C57EFC7BA824}">
      <formula1>$R$33:$R$36</formula1>
    </dataValidation>
    <dataValidation type="list" allowBlank="1" showInputMessage="1" showErrorMessage="1" sqref="T41:T55" xr:uid="{F699623B-EBA3-FD46-8646-008CB3B4D9B6}">
      <formula1>"技術,人為,過期,吃掉"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150B-D39C-A64B-9536-E6BF937A5EC3}">
  <sheetPr codeName="工作表33"/>
  <dimension ref="A1:AD101"/>
  <sheetViews>
    <sheetView topLeftCell="L10" zoomScale="89" zoomScaleNormal="100" workbookViewId="0">
      <selection activeCell="E42" sqref="E42:F42"/>
    </sheetView>
  </sheetViews>
  <sheetFormatPr baseColWidth="10" defaultRowHeight="15"/>
  <cols>
    <col min="1" max="1" width="15.1640625" customWidth="1"/>
    <col min="2" max="6" width="7.33203125" customWidth="1"/>
    <col min="7" max="10" width="8.33203125" customWidth="1"/>
    <col min="12" max="12" width="7.33203125" customWidth="1"/>
    <col min="13" max="15" width="11.33203125" customWidth="1"/>
    <col min="17" max="17" width="2.33203125" customWidth="1"/>
    <col min="23" max="23" width="2.5" customWidth="1"/>
    <col min="24" max="24" width="9.33203125" customWidth="1"/>
    <col min="25" max="26" width="9.5" customWidth="1"/>
    <col min="28" max="28" width="21.5" customWidth="1"/>
    <col min="29" max="29" width="21" customWidth="1"/>
  </cols>
  <sheetData>
    <row r="1" spans="1:30" ht="15" customHeight="1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30" ht="1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30" ht="1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30" s="6" customFormat="1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0" ht="15" customHeight="1">
      <c r="A5" s="228" t="s">
        <v>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R5" s="234" t="s">
        <v>23</v>
      </c>
      <c r="S5" s="235"/>
      <c r="T5" s="235"/>
      <c r="U5" s="235"/>
      <c r="V5" s="235"/>
      <c r="W5" s="235"/>
      <c r="X5" s="235"/>
      <c r="Y5" s="235"/>
      <c r="Z5" s="236"/>
    </row>
    <row r="6" spans="1:30" ht="15" customHeight="1">
      <c r="A6" s="12" t="s">
        <v>46</v>
      </c>
      <c r="B6" s="231" t="s">
        <v>17</v>
      </c>
      <c r="C6" s="231"/>
      <c r="D6" s="231"/>
      <c r="E6" s="231"/>
      <c r="F6" s="231"/>
      <c r="G6" s="232" t="s">
        <v>18</v>
      </c>
      <c r="H6" s="232"/>
      <c r="I6" s="232"/>
      <c r="J6" s="232"/>
      <c r="K6" s="231" t="s">
        <v>15</v>
      </c>
      <c r="L6" s="231"/>
      <c r="M6" s="231"/>
      <c r="N6" s="231"/>
      <c r="O6" s="231"/>
      <c r="P6" s="233"/>
      <c r="R6" s="237"/>
      <c r="S6" s="238"/>
      <c r="T6" s="238"/>
      <c r="U6" s="238"/>
      <c r="V6" s="238"/>
      <c r="W6" s="238"/>
      <c r="X6" s="238"/>
      <c r="Y6" s="238"/>
      <c r="Z6" s="239"/>
    </row>
    <row r="7" spans="1:30" ht="15" customHeight="1">
      <c r="A7" s="7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15</v>
      </c>
      <c r="L7" s="2" t="s">
        <v>22</v>
      </c>
      <c r="M7" s="2" t="s">
        <v>14</v>
      </c>
      <c r="N7" s="2" t="s">
        <v>16</v>
      </c>
      <c r="O7" s="2" t="s">
        <v>31</v>
      </c>
      <c r="P7" s="3" t="s">
        <v>8</v>
      </c>
      <c r="R7" s="237"/>
      <c r="S7" s="238"/>
      <c r="T7" s="238"/>
      <c r="U7" s="238"/>
      <c r="V7" s="238"/>
      <c r="W7" s="238"/>
      <c r="X7" s="238"/>
      <c r="Y7" s="238"/>
      <c r="Z7" s="239"/>
    </row>
    <row r="8" spans="1:30">
      <c r="A8" s="7"/>
      <c r="B8" s="2"/>
      <c r="C8" s="2"/>
      <c r="D8" s="2"/>
      <c r="E8" s="2"/>
      <c r="F8" s="2"/>
      <c r="G8" s="2"/>
      <c r="H8" s="2"/>
      <c r="I8" s="2"/>
      <c r="J8" s="2"/>
      <c r="K8" s="2">
        <f t="shared" ref="K8:K71" si="0">SUM(SUM(B8:F8)*360,SUM(G8:J8)*90)</f>
        <v>0</v>
      </c>
      <c r="L8" s="2"/>
      <c r="M8" s="2"/>
      <c r="N8" s="2">
        <f>K8+L8-M8</f>
        <v>0</v>
      </c>
      <c r="O8" s="2"/>
      <c r="P8" s="3"/>
      <c r="R8" s="174" t="s">
        <v>33</v>
      </c>
      <c r="S8" s="174"/>
      <c r="T8" s="174"/>
      <c r="U8" s="174"/>
      <c r="V8" s="174"/>
      <c r="W8" s="2"/>
      <c r="X8" s="240" t="s">
        <v>108</v>
      </c>
      <c r="Y8" s="240"/>
      <c r="Z8" s="240"/>
      <c r="AB8" s="50" t="s">
        <v>116</v>
      </c>
      <c r="AC8" s="51" t="s">
        <v>117</v>
      </c>
      <c r="AD8" s="22"/>
    </row>
    <row r="9" spans="1:30">
      <c r="A9" s="7"/>
      <c r="B9" s="2"/>
      <c r="C9" s="2"/>
      <c r="D9" s="2"/>
      <c r="E9" s="2"/>
      <c r="F9" s="2"/>
      <c r="G9" s="2"/>
      <c r="H9" s="2"/>
      <c r="I9" s="2"/>
      <c r="J9" s="2"/>
      <c r="K9" s="2">
        <f t="shared" si="0"/>
        <v>0</v>
      </c>
      <c r="L9" s="2"/>
      <c r="M9" s="2"/>
      <c r="N9" s="2">
        <f t="shared" ref="N9:N72" si="1">K9+L9-M9</f>
        <v>0</v>
      </c>
      <c r="O9" s="2"/>
      <c r="P9" s="3"/>
      <c r="R9" s="214" t="s">
        <v>32</v>
      </c>
      <c r="S9" s="214"/>
      <c r="T9" s="1" t="s">
        <v>22</v>
      </c>
      <c r="U9" s="244">
        <f>SUMIF(表格1_33451525354555657585960616263646566676869707172737475767778[欄1],"&lt;&gt;公關品",表格1_33451525354555657585960616263646566676869707172737475767778[運費])</f>
        <v>0</v>
      </c>
      <c r="V9" s="244"/>
      <c r="W9" s="2"/>
      <c r="X9" s="1" t="s">
        <v>109</v>
      </c>
      <c r="Y9" s="213">
        <f>INDEX('30'!Y12:Z13,1,1)</f>
        <v>31984</v>
      </c>
      <c r="Z9" s="213"/>
      <c r="AB9" t="str" cm="1">
        <f t="array" ref="AB9">_xlfn.LET(_xlpm.unpaid,_xlfn.UNIQUE(_xlfn._xlws.FILTER(A8:A100,O8:O100="未結帳款","今日無欠款")),IF(_xlpm.unpaid="今日無欠款","今日無欠款",_xlpm.unpaid&amp;"："&amp;SUMIFS(N8:N100,A8:A100,_xlpm.unpaid,O8:O100,"未結帳款")))</f>
        <v>今日無欠款</v>
      </c>
      <c r="AC9" t="str" cm="1">
        <f t="array" ref="AC9">_xlfn.LET(_xlpm.paid,_xlfn.UNIQUE(_xlfn._xlws.FILTER(A8:A100,P8:P100="銷帳","今日無銷帳")),IF(_xlpm.paid="今日無銷帳","今日無銷帳",_xlpm.paid&amp;"："&amp;SUMIFS(N8:N100,A8:A100,_xlpm.paid,P8:P100,"銷帳")))</f>
        <v>今日無銷帳</v>
      </c>
    </row>
    <row r="10" spans="1:30">
      <c r="A10" s="7"/>
      <c r="B10" s="2"/>
      <c r="C10" s="2"/>
      <c r="D10" s="2"/>
      <c r="E10" s="2"/>
      <c r="F10" s="2"/>
      <c r="G10" s="2"/>
      <c r="H10" s="2"/>
      <c r="I10" s="2"/>
      <c r="J10" s="2"/>
      <c r="K10" s="2">
        <f t="shared" si="0"/>
        <v>0</v>
      </c>
      <c r="L10" s="2"/>
      <c r="M10" s="2"/>
      <c r="N10" s="2">
        <f t="shared" si="1"/>
        <v>0</v>
      </c>
      <c r="O10" s="2"/>
      <c r="P10" s="3"/>
      <c r="R10" s="241">
        <f>SUM(K8:K101)-V15</f>
        <v>0</v>
      </c>
      <c r="S10" s="241"/>
      <c r="T10" s="1" t="s">
        <v>13</v>
      </c>
      <c r="U10" s="245">
        <f>SUM(M8:M101)</f>
        <v>0</v>
      </c>
      <c r="V10" s="245"/>
      <c r="W10" s="2"/>
      <c r="X10" s="1" t="s">
        <v>110</v>
      </c>
      <c r="Y10" s="213">
        <f>U15</f>
        <v>0</v>
      </c>
      <c r="Z10" s="213"/>
    </row>
    <row r="11" spans="1:30">
      <c r="A11" s="7"/>
      <c r="B11" s="2"/>
      <c r="C11" s="2"/>
      <c r="D11" s="2"/>
      <c r="E11" s="2"/>
      <c r="F11" s="2"/>
      <c r="G11" s="2"/>
      <c r="H11" s="2"/>
      <c r="I11" s="2"/>
      <c r="J11" s="2"/>
      <c r="K11" s="2">
        <f t="shared" si="0"/>
        <v>0</v>
      </c>
      <c r="L11" s="2"/>
      <c r="M11" s="2"/>
      <c r="N11" s="2">
        <f t="shared" si="1"/>
        <v>0</v>
      </c>
      <c r="O11" s="2"/>
      <c r="P11" s="3"/>
      <c r="R11" s="241" t="s">
        <v>24</v>
      </c>
      <c r="S11" s="242"/>
      <c r="T11" s="17" t="s">
        <v>55</v>
      </c>
      <c r="U11" s="213">
        <f>SUMIF(P8:P100,"公關品",K8:K103)</f>
        <v>0</v>
      </c>
      <c r="V11" s="213"/>
      <c r="W11" s="2"/>
      <c r="X11" s="1" t="s">
        <v>111</v>
      </c>
      <c r="Y11" s="213">
        <f>V15</f>
        <v>0</v>
      </c>
      <c r="Z11" s="213"/>
    </row>
    <row r="12" spans="1:30" ht="15" customHeight="1">
      <c r="A12" s="7"/>
      <c r="B12" s="2"/>
      <c r="C12" s="2"/>
      <c r="D12" s="2"/>
      <c r="E12" s="2"/>
      <c r="F12" s="2"/>
      <c r="G12" s="2"/>
      <c r="H12" s="2"/>
      <c r="I12" s="2"/>
      <c r="J12" s="2"/>
      <c r="K12" s="2">
        <f t="shared" si="0"/>
        <v>0</v>
      </c>
      <c r="L12" s="2"/>
      <c r="M12" s="2"/>
      <c r="N12" s="2">
        <f t="shared" si="1"/>
        <v>0</v>
      </c>
      <c r="O12" s="2"/>
      <c r="P12" s="3"/>
      <c r="R12" s="243">
        <f>R10-U10-U11</f>
        <v>0</v>
      </c>
      <c r="S12" s="243"/>
      <c r="T12" s="214" t="s">
        <v>44</v>
      </c>
      <c r="U12" s="214"/>
      <c r="V12" s="11" t="s">
        <v>45</v>
      </c>
      <c r="W12" s="2"/>
      <c r="X12" s="214" t="s">
        <v>112</v>
      </c>
      <c r="Y12" s="213">
        <f>Y9+Y10-Y11</f>
        <v>31984</v>
      </c>
      <c r="Z12" s="213"/>
    </row>
    <row r="13" spans="1:30" ht="15" customHeight="1">
      <c r="A13" s="7"/>
      <c r="B13" s="2"/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  <c r="M13" s="2"/>
      <c r="N13" s="2">
        <f t="shared" si="1"/>
        <v>0</v>
      </c>
      <c r="O13" s="2"/>
      <c r="P13" s="3"/>
      <c r="R13" s="243"/>
      <c r="S13" s="243"/>
      <c r="T13" s="1" t="s">
        <v>28</v>
      </c>
      <c r="U13" s="1">
        <f>SUMIF(O8:O101,"匯款",N8:N101)</f>
        <v>0</v>
      </c>
      <c r="V13" s="1"/>
      <c r="W13" s="2"/>
      <c r="X13" s="214"/>
      <c r="Y13" s="213"/>
      <c r="Z13" s="213"/>
    </row>
    <row r="14" spans="1:30" ht="15" customHeight="1">
      <c r="A14" s="7"/>
      <c r="B14" s="2"/>
      <c r="C14" s="2"/>
      <c r="D14" s="2"/>
      <c r="E14" s="2"/>
      <c r="F14" s="2"/>
      <c r="G14" s="2"/>
      <c r="H14" s="2"/>
      <c r="I14" s="2"/>
      <c r="J14" s="2"/>
      <c r="K14" s="2">
        <f t="shared" si="0"/>
        <v>0</v>
      </c>
      <c r="L14" s="2"/>
      <c r="M14" s="2"/>
      <c r="N14" s="2">
        <f t="shared" si="1"/>
        <v>0</v>
      </c>
      <c r="O14" s="2"/>
      <c r="P14" s="3"/>
      <c r="R14" s="243"/>
      <c r="S14" s="243"/>
      <c r="T14" s="1" t="s">
        <v>30</v>
      </c>
      <c r="U14" s="1">
        <f>SUMIF(O8:O102,"現金",N8:N102)</f>
        <v>0</v>
      </c>
      <c r="V14" s="1"/>
      <c r="W14" s="2"/>
      <c r="X14" s="2"/>
      <c r="Y14" s="2"/>
      <c r="Z14" s="3"/>
    </row>
    <row r="15" spans="1:30" ht="15" customHeight="1">
      <c r="A15" s="7"/>
      <c r="B15" s="2"/>
      <c r="C15" s="2"/>
      <c r="D15" s="2"/>
      <c r="E15" s="2"/>
      <c r="F15" s="2"/>
      <c r="G15" s="2"/>
      <c r="H15" s="2"/>
      <c r="I15" s="2"/>
      <c r="J15" s="2"/>
      <c r="K15" s="2">
        <f t="shared" si="0"/>
        <v>0</v>
      </c>
      <c r="L15" s="2"/>
      <c r="M15" s="2"/>
      <c r="N15" s="2">
        <f t="shared" si="1"/>
        <v>0</v>
      </c>
      <c r="O15" s="2"/>
      <c r="P15" s="3"/>
      <c r="R15" s="243"/>
      <c r="S15" s="243"/>
      <c r="T15" s="1" t="s">
        <v>26</v>
      </c>
      <c r="U15" s="1">
        <f>SUMIF(O8:O102,"未結帳款",N8:N103)</f>
        <v>0</v>
      </c>
      <c r="V15" s="1">
        <f>SUMIF(P8:P100,"銷帳",N8:N100)</f>
        <v>0</v>
      </c>
      <c r="W15" s="2"/>
      <c r="X15" s="2"/>
      <c r="Y15" s="2"/>
      <c r="Z15" s="3"/>
    </row>
    <row r="16" spans="1:30" ht="15" customHeight="1">
      <c r="A16" s="18"/>
      <c r="B16" s="2"/>
      <c r="C16" s="2"/>
      <c r="D16" s="2"/>
      <c r="E16" s="2"/>
      <c r="F16" s="2"/>
      <c r="G16" s="2"/>
      <c r="H16" s="2"/>
      <c r="I16" s="2"/>
      <c r="J16" s="2"/>
      <c r="K16" s="2">
        <f t="shared" si="0"/>
        <v>0</v>
      </c>
      <c r="L16" s="2"/>
      <c r="M16" s="2"/>
      <c r="N16" s="2">
        <f t="shared" si="1"/>
        <v>0</v>
      </c>
      <c r="O16" s="2"/>
      <c r="P16" s="3"/>
      <c r="R16" s="7"/>
      <c r="S16" s="2"/>
      <c r="T16" s="49" t="s">
        <v>115</v>
      </c>
      <c r="U16" s="2"/>
      <c r="V16" s="2"/>
      <c r="W16" s="2"/>
      <c r="X16" s="215" t="s">
        <v>34</v>
      </c>
      <c r="Y16" s="216"/>
      <c r="Z16" s="217"/>
    </row>
    <row r="17" spans="1:29">
      <c r="A17" s="7"/>
      <c r="B17" s="2"/>
      <c r="C17" s="2"/>
      <c r="D17" s="2"/>
      <c r="E17" s="2"/>
      <c r="F17" s="2"/>
      <c r="G17" s="2"/>
      <c r="H17" s="2"/>
      <c r="I17" s="2"/>
      <c r="J17" s="2"/>
      <c r="K17" s="2">
        <f t="shared" si="0"/>
        <v>0</v>
      </c>
      <c r="L17" s="2"/>
      <c r="M17" s="2"/>
      <c r="N17" s="2">
        <f t="shared" si="1"/>
        <v>0</v>
      </c>
      <c r="O17" s="2"/>
      <c r="P17" s="3"/>
      <c r="R17" s="219" t="s">
        <v>38</v>
      </c>
      <c r="S17" s="220"/>
      <c r="T17" s="220"/>
      <c r="U17" s="220"/>
      <c r="V17" s="220"/>
      <c r="W17" s="2"/>
      <c r="X17" s="7" t="s">
        <v>35</v>
      </c>
      <c r="Y17" s="114">
        <f>U9</f>
        <v>0</v>
      </c>
      <c r="Z17" s="218"/>
    </row>
    <row r="18" spans="1:29">
      <c r="A18" s="7"/>
      <c r="B18" s="2"/>
      <c r="C18" s="2"/>
      <c r="D18" s="2"/>
      <c r="E18" s="2"/>
      <c r="F18" s="2"/>
      <c r="G18" s="2"/>
      <c r="H18" s="2"/>
      <c r="I18" s="2"/>
      <c r="J18" s="2"/>
      <c r="K18" s="2">
        <f t="shared" si="0"/>
        <v>0</v>
      </c>
      <c r="L18" s="2"/>
      <c r="M18" s="2"/>
      <c r="N18" s="2">
        <f t="shared" si="1"/>
        <v>0</v>
      </c>
      <c r="O18" s="2"/>
      <c r="P18" s="3"/>
      <c r="R18" s="19"/>
      <c r="S18" s="20"/>
      <c r="T18" s="20" t="s">
        <v>57</v>
      </c>
      <c r="U18" s="20" t="s">
        <v>55</v>
      </c>
      <c r="V18" s="13" t="s">
        <v>79</v>
      </c>
      <c r="W18" s="2"/>
      <c r="X18" s="7" t="s">
        <v>36</v>
      </c>
      <c r="Y18" s="114"/>
      <c r="Z18" s="218"/>
    </row>
    <row r="19" spans="1:29">
      <c r="A19" s="7"/>
      <c r="B19" s="2"/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  <c r="M19" s="2"/>
      <c r="N19" s="2">
        <f t="shared" si="1"/>
        <v>0</v>
      </c>
      <c r="O19" s="2"/>
      <c r="P19" s="3"/>
      <c r="R19" s="204" t="s">
        <v>17</v>
      </c>
      <c r="S19" s="2" t="s">
        <v>3</v>
      </c>
      <c r="T19" s="2">
        <f ca="1">SUMIF(P8:P102,"&lt;&gt;公關品",B8:B100)</f>
        <v>0</v>
      </c>
      <c r="U19" s="2">
        <f ca="1">SUMIF(P8:P102,"公關品",B8:B100)</f>
        <v>0</v>
      </c>
      <c r="V19" s="15">
        <f ca="1">SUM(T19:T23,U19)</f>
        <v>0</v>
      </c>
      <c r="W19" s="2"/>
      <c r="X19" s="7" t="s">
        <v>56</v>
      </c>
      <c r="Y19" s="221">
        <f>SUMIF(P8:P100,"公關品",L8:L100)</f>
        <v>0</v>
      </c>
      <c r="Z19" s="222"/>
    </row>
    <row r="20" spans="1:29" ht="16" thickBot="1">
      <c r="A20" s="7"/>
      <c r="B20" s="2"/>
      <c r="C20" s="2"/>
      <c r="D20" s="2"/>
      <c r="E20" s="2"/>
      <c r="F20" s="2"/>
      <c r="G20" s="2"/>
      <c r="H20" s="2"/>
      <c r="I20" s="2"/>
      <c r="J20" s="2"/>
      <c r="K20" s="2">
        <f t="shared" si="0"/>
        <v>0</v>
      </c>
      <c r="L20" s="2"/>
      <c r="M20" s="2"/>
      <c r="N20" s="2">
        <f t="shared" si="1"/>
        <v>0</v>
      </c>
      <c r="O20" s="2"/>
      <c r="P20" s="3"/>
      <c r="R20" s="204"/>
      <c r="S20" s="2" t="s">
        <v>4</v>
      </c>
      <c r="T20" s="2">
        <f ca="1">SUMIF(P8:P102,"&lt;&gt;公關品",C8:C100)</f>
        <v>0</v>
      </c>
      <c r="U20" s="2">
        <f ca="1">SUMIF(P8:P102,"公關品",C8:C100)</f>
        <v>0</v>
      </c>
      <c r="V20" s="114" t="s">
        <v>43</v>
      </c>
      <c r="W20" s="2"/>
      <c r="X20" s="21" t="s">
        <v>51</v>
      </c>
      <c r="Y20" s="223">
        <f>SUM(Z24:Z27)</f>
        <v>0</v>
      </c>
      <c r="Z20" s="224"/>
    </row>
    <row r="21" spans="1:29" ht="16" thickTop="1">
      <c r="A21" s="7"/>
      <c r="B21" s="2"/>
      <c r="C21" s="2"/>
      <c r="D21" s="2"/>
      <c r="E21" s="2"/>
      <c r="F21" s="2"/>
      <c r="G21" s="2"/>
      <c r="H21" s="2"/>
      <c r="I21" s="2"/>
      <c r="J21" s="2"/>
      <c r="K21" s="2">
        <f t="shared" si="0"/>
        <v>0</v>
      </c>
      <c r="L21" s="2"/>
      <c r="M21" s="2"/>
      <c r="N21" s="2">
        <f t="shared" si="1"/>
        <v>0</v>
      </c>
      <c r="O21" s="2"/>
      <c r="P21" s="3"/>
      <c r="R21" s="204"/>
      <c r="S21" s="2" t="s">
        <v>5</v>
      </c>
      <c r="T21" s="2">
        <f ca="1">SUMIF(P8:P104,"&lt;&gt;公關品",D8:D102)</f>
        <v>0</v>
      </c>
      <c r="U21" s="2">
        <f ca="1">SUMIF(P8:P102,"公關品",D8:D100)</f>
        <v>0</v>
      </c>
      <c r="V21" s="114"/>
      <c r="W21" s="2"/>
      <c r="X21" s="8" t="s">
        <v>37</v>
      </c>
      <c r="Y21" s="247">
        <f>Y17-Y18-Y20+Y19</f>
        <v>0</v>
      </c>
      <c r="Z21" s="248"/>
    </row>
    <row r="22" spans="1:29">
      <c r="A22" s="7"/>
      <c r="B22" s="2"/>
      <c r="C22" s="2"/>
      <c r="D22" s="2"/>
      <c r="E22" s="2"/>
      <c r="F22" s="2"/>
      <c r="G22" s="2"/>
      <c r="H22" s="2"/>
      <c r="I22" s="2"/>
      <c r="J22" s="2"/>
      <c r="K22" s="2">
        <f t="shared" si="0"/>
        <v>0</v>
      </c>
      <c r="L22" s="2"/>
      <c r="M22" s="2"/>
      <c r="N22" s="2">
        <f t="shared" si="1"/>
        <v>0</v>
      </c>
      <c r="O22" s="2"/>
      <c r="P22" s="3"/>
      <c r="R22" s="204"/>
      <c r="S22" s="2" t="s">
        <v>6</v>
      </c>
      <c r="T22" s="2">
        <f ca="1">SUMIF(P8:P102,"&lt;&gt;公關品",E8:E100)</f>
        <v>0</v>
      </c>
      <c r="U22" s="2">
        <f ca="1">SUMIF(P8:P102,"公關品",E8:E100)</f>
        <v>0</v>
      </c>
      <c r="V22" s="114"/>
      <c r="W22" s="2"/>
      <c r="X22" s="210" t="s">
        <v>51</v>
      </c>
      <c r="Y22" s="211"/>
      <c r="Z22" s="212"/>
    </row>
    <row r="23" spans="1:29">
      <c r="A23" s="7"/>
      <c r="B23" s="2"/>
      <c r="C23" s="2"/>
      <c r="D23" s="2"/>
      <c r="E23" s="2"/>
      <c r="F23" s="2"/>
      <c r="G23" s="2"/>
      <c r="H23" s="2"/>
      <c r="I23" s="2"/>
      <c r="J23" s="2"/>
      <c r="K23" s="2">
        <f t="shared" si="0"/>
        <v>0</v>
      </c>
      <c r="L23" s="2"/>
      <c r="M23" s="2"/>
      <c r="N23" s="2">
        <f t="shared" si="1"/>
        <v>0</v>
      </c>
      <c r="O23" s="2"/>
      <c r="P23" s="3"/>
      <c r="R23" s="204"/>
      <c r="S23" s="2" t="s">
        <v>7</v>
      </c>
      <c r="T23" s="2">
        <f ca="1">SUMIF(P8:P102,"&lt;&gt;公關品",F8:F100)</f>
        <v>0</v>
      </c>
      <c r="U23" s="2">
        <f ca="1">SUMIF(P8:P102,"公關品",F8:F100)</f>
        <v>0</v>
      </c>
      <c r="V23" s="114"/>
      <c r="W23" s="2"/>
      <c r="X23" s="7" t="s">
        <v>106</v>
      </c>
      <c r="Y23" s="2" t="s">
        <v>96</v>
      </c>
      <c r="Z23" s="3" t="s">
        <v>107</v>
      </c>
    </row>
    <row r="24" spans="1:29">
      <c r="A24" s="7"/>
      <c r="B24" s="2"/>
      <c r="C24" s="2"/>
      <c r="D24" s="2"/>
      <c r="E24" s="2"/>
      <c r="F24" s="2"/>
      <c r="G24" s="2"/>
      <c r="H24" s="2"/>
      <c r="I24" s="2"/>
      <c r="J24" s="2"/>
      <c r="K24" s="2">
        <f t="shared" si="0"/>
        <v>0</v>
      </c>
      <c r="L24" s="2"/>
      <c r="M24" s="2"/>
      <c r="N24" s="2">
        <f t="shared" si="1"/>
        <v>0</v>
      </c>
      <c r="O24" s="2"/>
      <c r="P24" s="3"/>
      <c r="R24" s="204" t="s">
        <v>18</v>
      </c>
      <c r="S24" s="2" t="s">
        <v>4</v>
      </c>
      <c r="T24" s="2">
        <f ca="1">SUMIF(P9:P103,"&lt;&gt;公關品",G8:G100)</f>
        <v>0</v>
      </c>
      <c r="U24" s="2">
        <f ca="1">SUMIF(P8:P102,"公關品",G8:G100)</f>
        <v>0</v>
      </c>
      <c r="V24" s="2">
        <f ca="1">T19+(T20*4)+T24</f>
        <v>0</v>
      </c>
      <c r="W24" s="2"/>
      <c r="X24" s="7" t="s">
        <v>103</v>
      </c>
      <c r="Y24" s="2"/>
      <c r="Z24" s="3"/>
    </row>
    <row r="25" spans="1:29">
      <c r="A25" s="7"/>
      <c r="B25" s="2"/>
      <c r="C25" s="2"/>
      <c r="D25" s="2"/>
      <c r="E25" s="2"/>
      <c r="F25" s="2"/>
      <c r="G25" s="2"/>
      <c r="H25" s="2"/>
      <c r="I25" s="2"/>
      <c r="J25" s="2"/>
      <c r="K25" s="2">
        <f t="shared" si="0"/>
        <v>0</v>
      </c>
      <c r="L25" s="2"/>
      <c r="M25" s="2"/>
      <c r="N25" s="2">
        <f t="shared" si="1"/>
        <v>0</v>
      </c>
      <c r="O25" s="2"/>
      <c r="P25" s="3"/>
      <c r="R25" s="204"/>
      <c r="S25" s="2" t="s">
        <v>5</v>
      </c>
      <c r="T25" s="2">
        <f ca="1">SUMIF(P8:P102,"&lt;&gt;公關品",H8:H100)</f>
        <v>0</v>
      </c>
      <c r="U25" s="2">
        <f ca="1">SUMIF(P8:P102,"公關品",I8:I100)</f>
        <v>0</v>
      </c>
      <c r="V25" s="2">
        <f ca="1">T19+(T21*4)+T25</f>
        <v>0</v>
      </c>
      <c r="W25" s="2"/>
      <c r="X25" s="7" t="s">
        <v>104</v>
      </c>
      <c r="Y25" s="2"/>
      <c r="Z25" s="3">
        <f>Y25*5</f>
        <v>0</v>
      </c>
    </row>
    <row r="26" spans="1:29">
      <c r="A26" s="7"/>
      <c r="B26" s="2"/>
      <c r="C26" s="2"/>
      <c r="D26" s="2"/>
      <c r="E26" s="2"/>
      <c r="F26" s="2"/>
      <c r="G26" s="2"/>
      <c r="H26" s="2"/>
      <c r="I26" s="2"/>
      <c r="J26" s="2"/>
      <c r="K26" s="2">
        <f t="shared" si="0"/>
        <v>0</v>
      </c>
      <c r="L26" s="2"/>
      <c r="M26" s="2"/>
      <c r="N26" s="2">
        <f t="shared" si="1"/>
        <v>0</v>
      </c>
      <c r="O26" s="2"/>
      <c r="P26" s="3"/>
      <c r="R26" s="204"/>
      <c r="S26" s="2" t="s">
        <v>6</v>
      </c>
      <c r="T26" s="2">
        <f ca="1">SUMIF(P9:P103,"&lt;&gt;公關品",I8:I100)</f>
        <v>0</v>
      </c>
      <c r="U26" s="2">
        <f ca="1">SUMIF(P8:P102,"公關品",I8:I100)</f>
        <v>0</v>
      </c>
      <c r="V26" s="2">
        <f ca="1">T19+(T22*4)+T26</f>
        <v>0</v>
      </c>
      <c r="W26" s="2"/>
      <c r="X26" s="7" t="s">
        <v>105</v>
      </c>
      <c r="Y26" s="2"/>
      <c r="Z26" s="3" t="s">
        <v>257</v>
      </c>
    </row>
    <row r="27" spans="1:29">
      <c r="A27" s="7"/>
      <c r="B27" s="2"/>
      <c r="C27" s="2"/>
      <c r="D27" s="2"/>
      <c r="E27" s="2"/>
      <c r="F27" s="2"/>
      <c r="G27" s="2"/>
      <c r="H27" s="2"/>
      <c r="I27" s="2"/>
      <c r="J27" s="2"/>
      <c r="K27" s="2">
        <f t="shared" si="0"/>
        <v>0</v>
      </c>
      <c r="L27" s="2"/>
      <c r="M27" s="2"/>
      <c r="N27" s="2">
        <f t="shared" si="1"/>
        <v>0</v>
      </c>
      <c r="O27" s="2"/>
      <c r="P27" s="3"/>
      <c r="R27" s="205"/>
      <c r="S27" s="9" t="s">
        <v>7</v>
      </c>
      <c r="T27" s="9">
        <f ca="1">SUMIF(P8:P102,"&lt;&gt;公關品",J8:J100)</f>
        <v>0</v>
      </c>
      <c r="U27" s="9">
        <f ca="1">SUMIF(P9:P103,"公關品",J8:J100)</f>
        <v>0</v>
      </c>
      <c r="V27" s="9">
        <f ca="1">T19+(T23*4)+T27</f>
        <v>0</v>
      </c>
      <c r="W27" s="9"/>
      <c r="X27" s="8" t="s">
        <v>76</v>
      </c>
      <c r="Y27" s="9"/>
      <c r="Z27" s="4"/>
    </row>
    <row r="28" spans="1:29">
      <c r="A28" s="7"/>
      <c r="B28" s="2"/>
      <c r="C28" s="2"/>
      <c r="D28" s="2"/>
      <c r="E28" s="2"/>
      <c r="F28" s="2"/>
      <c r="G28" s="2"/>
      <c r="H28" s="2"/>
      <c r="I28" s="2"/>
      <c r="J28" s="2"/>
      <c r="K28" s="2">
        <f t="shared" si="0"/>
        <v>0</v>
      </c>
      <c r="L28" s="2"/>
      <c r="M28" s="2"/>
      <c r="N28" s="2">
        <f t="shared" si="1"/>
        <v>0</v>
      </c>
      <c r="O28" s="2"/>
      <c r="P28" s="3"/>
    </row>
    <row r="29" spans="1:29">
      <c r="A29" s="7"/>
      <c r="B29" s="2"/>
      <c r="C29" s="2"/>
      <c r="D29" s="2"/>
      <c r="E29" s="2"/>
      <c r="F29" s="2"/>
      <c r="G29" s="2"/>
      <c r="H29" s="2"/>
      <c r="I29" s="2"/>
      <c r="J29" s="2"/>
      <c r="K29" s="2">
        <f t="shared" si="0"/>
        <v>0</v>
      </c>
      <c r="L29" s="2"/>
      <c r="M29" s="2"/>
      <c r="N29" s="2">
        <f t="shared" si="1"/>
        <v>0</v>
      </c>
      <c r="O29" s="2"/>
      <c r="P29" s="3"/>
    </row>
    <row r="30" spans="1:29" ht="15" customHeight="1">
      <c r="A30" s="7"/>
      <c r="B30" s="2"/>
      <c r="C30" s="2"/>
      <c r="D30" s="2"/>
      <c r="E30" s="2"/>
      <c r="F30" s="2"/>
      <c r="G30" s="2"/>
      <c r="H30" s="2"/>
      <c r="I30" s="2"/>
      <c r="J30" s="2"/>
      <c r="K30" s="2">
        <f t="shared" si="0"/>
        <v>0</v>
      </c>
      <c r="L30" s="2"/>
      <c r="M30" s="2"/>
      <c r="N30" s="2">
        <f t="shared" si="1"/>
        <v>0</v>
      </c>
      <c r="O30" s="2"/>
      <c r="P30" s="3"/>
      <c r="R30" s="192" t="s">
        <v>91</v>
      </c>
      <c r="S30" s="193"/>
      <c r="T30" s="193"/>
      <c r="U30" s="193"/>
      <c r="V30" s="193"/>
      <c r="W30" s="193"/>
      <c r="X30" s="193"/>
      <c r="Y30" s="193"/>
      <c r="Z30" s="194"/>
      <c r="AB30" s="180" t="s">
        <v>141</v>
      </c>
      <c r="AC30" s="181"/>
    </row>
    <row r="31" spans="1:29" ht="15" customHeight="1">
      <c r="A31" s="7"/>
      <c r="B31" s="2"/>
      <c r="C31" s="2"/>
      <c r="D31" s="2"/>
      <c r="E31" s="2"/>
      <c r="F31" s="2"/>
      <c r="G31" s="2"/>
      <c r="H31" s="2"/>
      <c r="I31" s="2"/>
      <c r="J31" s="2"/>
      <c r="K31" s="2">
        <f t="shared" si="0"/>
        <v>0</v>
      </c>
      <c r="L31" s="2"/>
      <c r="M31" s="2"/>
      <c r="N31" s="2">
        <f t="shared" si="1"/>
        <v>0</v>
      </c>
      <c r="O31" s="2"/>
      <c r="P31" s="3"/>
      <c r="R31" s="195"/>
      <c r="S31" s="196"/>
      <c r="T31" s="196"/>
      <c r="U31" s="196"/>
      <c r="V31" s="196"/>
      <c r="W31" s="196"/>
      <c r="X31" s="196"/>
      <c r="Y31" s="196"/>
      <c r="Z31" s="197"/>
      <c r="AB31" s="7" t="s">
        <v>142</v>
      </c>
      <c r="AC31" s="29">
        <f ca="1">SUM(U19:U23)</f>
        <v>0</v>
      </c>
    </row>
    <row r="32" spans="1:29">
      <c r="A32" s="7"/>
      <c r="B32" s="2"/>
      <c r="C32" s="2"/>
      <c r="D32" s="2"/>
      <c r="E32" s="2"/>
      <c r="F32" s="2"/>
      <c r="G32" s="2"/>
      <c r="H32" s="2"/>
      <c r="I32" s="2"/>
      <c r="J32" s="2"/>
      <c r="K32" s="2">
        <f t="shared" si="0"/>
        <v>0</v>
      </c>
      <c r="L32" s="2"/>
      <c r="M32" s="2"/>
      <c r="N32" s="2">
        <f t="shared" si="1"/>
        <v>0</v>
      </c>
      <c r="O32" s="2"/>
      <c r="P32" s="3"/>
      <c r="R32" s="12" t="s">
        <v>86</v>
      </c>
      <c r="S32" s="2" t="s">
        <v>92</v>
      </c>
      <c r="T32" s="13" t="s">
        <v>87</v>
      </c>
      <c r="U32" s="13" t="s">
        <v>88</v>
      </c>
      <c r="V32" s="13" t="s">
        <v>89</v>
      </c>
      <c r="W32" s="114" t="s">
        <v>90</v>
      </c>
      <c r="X32" s="114"/>
      <c r="Y32" s="13" t="s">
        <v>93</v>
      </c>
      <c r="Z32" s="14" t="s">
        <v>94</v>
      </c>
      <c r="AB32" s="7" t="s">
        <v>43</v>
      </c>
      <c r="AC32" s="29">
        <f ca="1">SUM(AC33:AC36)</f>
        <v>0</v>
      </c>
    </row>
    <row r="33" spans="1:29">
      <c r="A33" s="7"/>
      <c r="B33" s="2"/>
      <c r="C33" s="2"/>
      <c r="D33" s="2"/>
      <c r="E33" s="2"/>
      <c r="F33" s="2"/>
      <c r="G33" s="2"/>
      <c r="H33" s="2"/>
      <c r="I33" s="2"/>
      <c r="J33" s="2"/>
      <c r="K33" s="2">
        <f t="shared" si="0"/>
        <v>0</v>
      </c>
      <c r="L33" s="2"/>
      <c r="M33" s="2"/>
      <c r="N33" s="2">
        <f t="shared" si="1"/>
        <v>0</v>
      </c>
      <c r="O33" s="2"/>
      <c r="P33" s="3"/>
      <c r="R33" s="7" t="s">
        <v>4</v>
      </c>
      <c r="S33" s="2">
        <f ca="1">'30'!Y33</f>
        <v>0</v>
      </c>
      <c r="T33" s="2"/>
      <c r="U33" s="2"/>
      <c r="V33" s="2">
        <f>SUMIF(R40:R55,"原味",S40:S55)</f>
        <v>0</v>
      </c>
      <c r="W33" s="114">
        <f ca="1">V24+U24+U19+U20*4</f>
        <v>0</v>
      </c>
      <c r="X33" s="114"/>
      <c r="Y33" s="13">
        <f ca="1">S33+U33-V33-W33</f>
        <v>0</v>
      </c>
      <c r="Z33" s="28" t="str">
        <f ca="1">IFERROR((V33/(U33+S33))," ")</f>
        <v xml:space="preserve"> </v>
      </c>
      <c r="AB33" s="59" t="s">
        <v>4</v>
      </c>
      <c r="AC33" s="60">
        <f ca="1">U24+U19+U20*4</f>
        <v>0</v>
      </c>
    </row>
    <row r="34" spans="1:29">
      <c r="A34" s="7"/>
      <c r="B34" s="2"/>
      <c r="C34" s="2"/>
      <c r="D34" s="2"/>
      <c r="E34" s="2"/>
      <c r="F34" s="2"/>
      <c r="G34" s="2"/>
      <c r="H34" s="2"/>
      <c r="I34" s="2"/>
      <c r="J34" s="2"/>
      <c r="K34" s="2">
        <f t="shared" si="0"/>
        <v>0</v>
      </c>
      <c r="L34" s="2"/>
      <c r="M34" s="2"/>
      <c r="N34" s="2">
        <f t="shared" si="1"/>
        <v>0</v>
      </c>
      <c r="O34" s="2"/>
      <c r="P34" s="3"/>
      <c r="R34" s="7" t="s">
        <v>5</v>
      </c>
      <c r="S34" s="2">
        <f ca="1">'30'!Y34</f>
        <v>0</v>
      </c>
      <c r="T34" s="2"/>
      <c r="U34" s="2"/>
      <c r="V34" s="2">
        <f>SUMIF(R41:R55,"可可",S41:S55)</f>
        <v>0</v>
      </c>
      <c r="W34" s="114">
        <f ca="1">V25+U25+U19+U21*4</f>
        <v>0</v>
      </c>
      <c r="X34" s="114"/>
      <c r="Y34" s="13">
        <f ca="1">S34+U34-V34-W34</f>
        <v>0</v>
      </c>
      <c r="Z34" s="28" t="str">
        <f ca="1">IFERROR((V34/(U34+S34))," ")</f>
        <v xml:space="preserve"> </v>
      </c>
      <c r="AB34" s="59" t="s">
        <v>5</v>
      </c>
      <c r="AC34" s="60">
        <f ca="1">U25+U19+U21*4</f>
        <v>0</v>
      </c>
    </row>
    <row r="35" spans="1:29">
      <c r="A35" s="7"/>
      <c r="B35" s="2"/>
      <c r="C35" s="2"/>
      <c r="D35" s="2"/>
      <c r="E35" s="2"/>
      <c r="F35" s="2"/>
      <c r="G35" s="2"/>
      <c r="H35" s="2"/>
      <c r="I35" s="2"/>
      <c r="J35" s="2"/>
      <c r="K35" s="2">
        <f t="shared" si="0"/>
        <v>0</v>
      </c>
      <c r="L35" s="2"/>
      <c r="M35" s="2"/>
      <c r="N35" s="2">
        <f t="shared" si="1"/>
        <v>0</v>
      </c>
      <c r="O35" s="2"/>
      <c r="P35" s="3"/>
      <c r="R35" s="7" t="s">
        <v>6</v>
      </c>
      <c r="S35" s="2">
        <f ca="1">'30'!Y35</f>
        <v>0</v>
      </c>
      <c r="T35" s="2"/>
      <c r="U35" s="2"/>
      <c r="V35" s="2">
        <f>SUMIF(R41:R55,"伯爵",S41:S55)</f>
        <v>0</v>
      </c>
      <c r="W35" s="114">
        <f ca="1">V26+U26+U19+U22*4</f>
        <v>0</v>
      </c>
      <c r="X35" s="114"/>
      <c r="Y35" s="13">
        <f ca="1">S35+U35-V35-W35</f>
        <v>0</v>
      </c>
      <c r="Z35" s="28" t="str">
        <f ca="1">IFERROR((V35/(U35+S35))," ")</f>
        <v xml:space="preserve"> </v>
      </c>
      <c r="AB35" s="59" t="s">
        <v>6</v>
      </c>
      <c r="AC35" s="60">
        <f ca="1">U26+U19+U22*4</f>
        <v>0</v>
      </c>
    </row>
    <row r="36" spans="1:29">
      <c r="A36" s="7"/>
      <c r="B36" s="2"/>
      <c r="C36" s="2"/>
      <c r="D36" s="2"/>
      <c r="E36" s="2"/>
      <c r="F36" s="2"/>
      <c r="G36" s="2"/>
      <c r="H36" s="2"/>
      <c r="I36" s="2"/>
      <c r="J36" s="2"/>
      <c r="K36" s="2">
        <f t="shared" si="0"/>
        <v>0</v>
      </c>
      <c r="L36" s="2"/>
      <c r="M36" s="2"/>
      <c r="N36" s="2">
        <f t="shared" si="1"/>
        <v>0</v>
      </c>
      <c r="O36" s="2"/>
      <c r="P36" s="3"/>
      <c r="R36" s="7" t="s">
        <v>7</v>
      </c>
      <c r="S36" s="2">
        <f ca="1">'30'!Y36</f>
        <v>0</v>
      </c>
      <c r="T36" s="2"/>
      <c r="U36" s="2"/>
      <c r="V36" s="2">
        <f>SUMIF(R41:R55,"抹茶",S41:S55)</f>
        <v>0</v>
      </c>
      <c r="W36" s="114">
        <f ca="1">V27+U27+U19+U23*4</f>
        <v>0</v>
      </c>
      <c r="X36" s="114"/>
      <c r="Y36" s="13">
        <f ca="1">S36+U36-V36-W36</f>
        <v>0</v>
      </c>
      <c r="Z36" s="28" t="str">
        <f ca="1">IFERROR((V36/(U36+S36))," ")</f>
        <v xml:space="preserve"> </v>
      </c>
      <c r="AB36" s="61" t="s">
        <v>7</v>
      </c>
      <c r="AC36" s="62">
        <f ca="1">U27+U19+U23*4</f>
        <v>0</v>
      </c>
    </row>
    <row r="37" spans="1:29">
      <c r="A37" s="7"/>
      <c r="B37" s="2"/>
      <c r="C37" s="2"/>
      <c r="D37" s="2"/>
      <c r="E37" s="2"/>
      <c r="F37" s="2"/>
      <c r="G37" s="2"/>
      <c r="H37" s="2"/>
      <c r="I37" s="2"/>
      <c r="J37" s="2"/>
      <c r="K37" s="2">
        <f t="shared" si="0"/>
        <v>0</v>
      </c>
      <c r="L37" s="2"/>
      <c r="M37" s="2"/>
      <c r="N37" s="2">
        <f t="shared" si="1"/>
        <v>0</v>
      </c>
      <c r="O37" s="2"/>
      <c r="P37" s="3"/>
      <c r="R37" s="7"/>
      <c r="S37" s="2"/>
      <c r="T37" s="2"/>
      <c r="U37" s="2"/>
      <c r="V37" s="2"/>
      <c r="W37" s="114"/>
      <c r="X37" s="114"/>
      <c r="Y37" s="2"/>
      <c r="Z37" s="3"/>
    </row>
    <row r="38" spans="1:29">
      <c r="A38" s="7"/>
      <c r="B38" s="2"/>
      <c r="C38" s="2"/>
      <c r="D38" s="2"/>
      <c r="E38" s="2"/>
      <c r="F38" s="2"/>
      <c r="G38" s="2"/>
      <c r="H38" s="2"/>
      <c r="I38" s="2"/>
      <c r="J38" s="2"/>
      <c r="K38" s="2">
        <f t="shared" si="0"/>
        <v>0</v>
      </c>
      <c r="L38" s="2"/>
      <c r="M38" s="2"/>
      <c r="N38" s="2">
        <f t="shared" si="1"/>
        <v>0</v>
      </c>
      <c r="O38" s="2"/>
      <c r="P38" s="3"/>
      <c r="R38" s="198" t="s">
        <v>95</v>
      </c>
      <c r="S38" s="199"/>
      <c r="T38" s="199"/>
      <c r="U38" s="199"/>
      <c r="V38" s="199"/>
      <c r="W38" s="199"/>
      <c r="X38" s="199"/>
      <c r="Y38" s="199"/>
      <c r="Z38" s="200"/>
      <c r="AB38" s="264" t="s">
        <v>143</v>
      </c>
      <c r="AC38" s="265"/>
    </row>
    <row r="39" spans="1:29">
      <c r="A39" s="7"/>
      <c r="B39" s="2"/>
      <c r="C39" s="2"/>
      <c r="D39" s="2"/>
      <c r="E39" s="2"/>
      <c r="F39" s="2"/>
      <c r="G39" s="2"/>
      <c r="H39" s="2"/>
      <c r="I39" s="2"/>
      <c r="J39" s="2"/>
      <c r="K39" s="2">
        <f t="shared" si="0"/>
        <v>0</v>
      </c>
      <c r="L39" s="2"/>
      <c r="M39" s="2"/>
      <c r="N39" s="2">
        <f t="shared" si="1"/>
        <v>0</v>
      </c>
      <c r="O39" s="2"/>
      <c r="P39" s="3"/>
      <c r="R39" s="201"/>
      <c r="S39" s="202"/>
      <c r="T39" s="202"/>
      <c r="U39" s="202"/>
      <c r="V39" s="202"/>
      <c r="W39" s="202"/>
      <c r="X39" s="202"/>
      <c r="Y39" s="202"/>
      <c r="Z39" s="203"/>
      <c r="AB39" s="7" t="s">
        <v>142</v>
      </c>
      <c r="AC39" s="29">
        <f ca="1">SUM('1:31'!AC31)</f>
        <v>2</v>
      </c>
    </row>
    <row r="40" spans="1:29">
      <c r="A40" s="7"/>
      <c r="B40" s="2"/>
      <c r="C40" s="2"/>
      <c r="D40" s="2"/>
      <c r="E40" s="2"/>
      <c r="F40" s="2"/>
      <c r="G40" s="2"/>
      <c r="H40" s="2"/>
      <c r="I40" s="2"/>
      <c r="J40" s="2"/>
      <c r="K40" s="2">
        <f t="shared" si="0"/>
        <v>0</v>
      </c>
      <c r="L40" s="2"/>
      <c r="M40" s="2"/>
      <c r="N40" s="2">
        <f t="shared" si="1"/>
        <v>0</v>
      </c>
      <c r="O40" s="2"/>
      <c r="P40" s="3"/>
      <c r="R40" s="7" t="s">
        <v>86</v>
      </c>
      <c r="S40" s="2" t="s">
        <v>96</v>
      </c>
      <c r="T40" s="15" t="s">
        <v>46</v>
      </c>
      <c r="U40" s="182" t="s">
        <v>97</v>
      </c>
      <c r="V40" s="182"/>
      <c r="W40" s="182"/>
      <c r="X40" s="182"/>
      <c r="Y40" s="182"/>
      <c r="Z40" s="183"/>
      <c r="AB40" s="7" t="s">
        <v>43</v>
      </c>
      <c r="AC40" s="29">
        <f ca="1">SUM('1:31'!AC32)</f>
        <v>8</v>
      </c>
    </row>
    <row r="41" spans="1:29">
      <c r="A41" s="7"/>
      <c r="B41" s="2"/>
      <c r="C41" s="2"/>
      <c r="D41" s="2"/>
      <c r="E41" s="2"/>
      <c r="F41" s="2"/>
      <c r="G41" s="2"/>
      <c r="H41" s="2"/>
      <c r="I41" s="2"/>
      <c r="J41" s="2"/>
      <c r="K41" s="2">
        <f t="shared" si="0"/>
        <v>0</v>
      </c>
      <c r="L41" s="2"/>
      <c r="M41" s="2"/>
      <c r="N41" s="2">
        <f t="shared" si="1"/>
        <v>0</v>
      </c>
      <c r="O41" s="2"/>
      <c r="P41" s="3"/>
      <c r="R41" s="7"/>
      <c r="S41" s="2"/>
      <c r="T41" s="15"/>
      <c r="U41" s="182"/>
      <c r="V41" s="182"/>
      <c r="W41" s="182"/>
      <c r="X41" s="182"/>
      <c r="Y41" s="182"/>
      <c r="Z41" s="183"/>
      <c r="AB41" s="59" t="s">
        <v>4</v>
      </c>
      <c r="AC41" s="60">
        <f ca="1">SUM('1:31'!AC33)</f>
        <v>2</v>
      </c>
    </row>
    <row r="42" spans="1:29">
      <c r="A42" s="7"/>
      <c r="B42" s="2"/>
      <c r="C42" s="2"/>
      <c r="D42" s="2"/>
      <c r="E42" s="2"/>
      <c r="F42" s="2"/>
      <c r="G42" s="2"/>
      <c r="H42" s="2"/>
      <c r="I42" s="2"/>
      <c r="J42" s="2"/>
      <c r="K42" s="2">
        <f t="shared" si="0"/>
        <v>0</v>
      </c>
      <c r="L42" s="2"/>
      <c r="M42" s="2"/>
      <c r="N42" s="2">
        <f t="shared" si="1"/>
        <v>0</v>
      </c>
      <c r="O42" s="2"/>
      <c r="P42" s="3"/>
      <c r="R42" s="7"/>
      <c r="S42" s="2"/>
      <c r="T42" s="15"/>
      <c r="U42" s="182"/>
      <c r="V42" s="182"/>
      <c r="W42" s="182"/>
      <c r="X42" s="182"/>
      <c r="Y42" s="182"/>
      <c r="Z42" s="183"/>
      <c r="AB42" s="59" t="s">
        <v>5</v>
      </c>
      <c r="AC42" s="60">
        <f ca="1">SUM('1:31'!AC34)</f>
        <v>2</v>
      </c>
    </row>
    <row r="43" spans="1:29">
      <c r="A43" s="7"/>
      <c r="B43" s="2"/>
      <c r="C43" s="2"/>
      <c r="D43" s="2"/>
      <c r="E43" s="2"/>
      <c r="F43" s="2"/>
      <c r="G43" s="2"/>
      <c r="H43" s="2"/>
      <c r="I43" s="2"/>
      <c r="J43" s="2"/>
      <c r="K43" s="2">
        <f t="shared" si="0"/>
        <v>0</v>
      </c>
      <c r="L43" s="2"/>
      <c r="M43" s="2"/>
      <c r="N43" s="2">
        <f t="shared" si="1"/>
        <v>0</v>
      </c>
      <c r="O43" s="2"/>
      <c r="P43" s="3"/>
      <c r="R43" s="7"/>
      <c r="T43" s="15"/>
      <c r="U43" s="182"/>
      <c r="V43" s="182"/>
      <c r="W43" s="182"/>
      <c r="X43" s="182"/>
      <c r="Y43" s="182"/>
      <c r="Z43" s="183"/>
      <c r="AB43" s="59" t="s">
        <v>6</v>
      </c>
      <c r="AC43" s="60">
        <f ca="1">SUM('1:31'!AC35)</f>
        <v>2</v>
      </c>
    </row>
    <row r="44" spans="1:29">
      <c r="A44" s="7"/>
      <c r="B44" s="2"/>
      <c r="C44" s="2"/>
      <c r="D44" s="2"/>
      <c r="E44" s="2"/>
      <c r="F44" s="2"/>
      <c r="G44" s="2"/>
      <c r="H44" s="2"/>
      <c r="I44" s="2"/>
      <c r="J44" s="2"/>
      <c r="K44" s="2">
        <f t="shared" si="0"/>
        <v>0</v>
      </c>
      <c r="L44" s="2"/>
      <c r="M44" s="2"/>
      <c r="N44" s="2">
        <f t="shared" si="1"/>
        <v>0</v>
      </c>
      <c r="O44" s="2"/>
      <c r="P44" s="3"/>
      <c r="R44" s="7"/>
      <c r="S44" s="2"/>
      <c r="T44" s="15"/>
      <c r="U44" s="182"/>
      <c r="V44" s="182"/>
      <c r="W44" s="182"/>
      <c r="X44" s="182"/>
      <c r="Y44" s="182"/>
      <c r="Z44" s="183"/>
      <c r="AB44" s="61" t="s">
        <v>7</v>
      </c>
      <c r="AC44" s="62">
        <f ca="1">SUM('1:31'!AC36)</f>
        <v>2</v>
      </c>
    </row>
    <row r="45" spans="1:29">
      <c r="A45" s="7"/>
      <c r="B45" s="2"/>
      <c r="C45" s="2"/>
      <c r="D45" s="2"/>
      <c r="E45" s="2"/>
      <c r="F45" s="2"/>
      <c r="G45" s="2"/>
      <c r="H45" s="2"/>
      <c r="I45" s="2"/>
      <c r="J45" s="2"/>
      <c r="K45" s="2">
        <f t="shared" si="0"/>
        <v>0</v>
      </c>
      <c r="L45" s="2"/>
      <c r="M45" s="2"/>
      <c r="N45" s="2">
        <f t="shared" si="1"/>
        <v>0</v>
      </c>
      <c r="O45" s="2"/>
      <c r="P45" s="3"/>
      <c r="R45" s="7"/>
      <c r="S45" s="30"/>
      <c r="T45" s="15"/>
      <c r="U45" s="182"/>
      <c r="V45" s="182"/>
      <c r="W45" s="182"/>
      <c r="X45" s="182"/>
      <c r="Y45" s="182"/>
      <c r="Z45" s="183"/>
    </row>
    <row r="46" spans="1:29">
      <c r="A46" s="7"/>
      <c r="B46" s="2"/>
      <c r="C46" s="2"/>
      <c r="D46" s="2"/>
      <c r="E46" s="2"/>
      <c r="F46" s="2"/>
      <c r="G46" s="2"/>
      <c r="H46" s="2"/>
      <c r="I46" s="2"/>
      <c r="J46" s="2"/>
      <c r="K46" s="2">
        <f t="shared" si="0"/>
        <v>0</v>
      </c>
      <c r="L46" s="2"/>
      <c r="M46" s="2"/>
      <c r="N46" s="2">
        <f t="shared" si="1"/>
        <v>0</v>
      </c>
      <c r="O46" s="2"/>
      <c r="P46" s="3"/>
      <c r="R46" s="7"/>
      <c r="S46" s="2"/>
      <c r="T46" s="15"/>
      <c r="U46" s="182"/>
      <c r="V46" s="182"/>
      <c r="W46" s="182"/>
      <c r="X46" s="182"/>
      <c r="Y46" s="182"/>
      <c r="Z46" s="183"/>
    </row>
    <row r="47" spans="1:29">
      <c r="A47" s="7"/>
      <c r="B47" s="2"/>
      <c r="C47" s="2"/>
      <c r="D47" s="2"/>
      <c r="E47" s="2"/>
      <c r="F47" s="2"/>
      <c r="G47" s="2"/>
      <c r="H47" s="2"/>
      <c r="I47" s="2"/>
      <c r="J47" s="2"/>
      <c r="K47" s="2">
        <f t="shared" si="0"/>
        <v>0</v>
      </c>
      <c r="L47" s="2"/>
      <c r="M47" s="2"/>
      <c r="N47" s="2">
        <f t="shared" si="1"/>
        <v>0</v>
      </c>
      <c r="O47" s="2"/>
      <c r="P47" s="3"/>
      <c r="R47" s="7"/>
      <c r="S47" s="2"/>
      <c r="T47" s="15"/>
      <c r="U47" s="182"/>
      <c r="V47" s="182"/>
      <c r="W47" s="182"/>
      <c r="X47" s="182"/>
      <c r="Y47" s="182"/>
      <c r="Z47" s="183"/>
    </row>
    <row r="48" spans="1:29">
      <c r="A48" s="7"/>
      <c r="B48" s="2"/>
      <c r="C48" s="2"/>
      <c r="D48" s="2"/>
      <c r="E48" s="2"/>
      <c r="F48" s="2"/>
      <c r="G48" s="2"/>
      <c r="H48" s="2"/>
      <c r="I48" s="2"/>
      <c r="J48" s="2"/>
      <c r="K48" s="2">
        <f t="shared" si="0"/>
        <v>0</v>
      </c>
      <c r="L48" s="2"/>
      <c r="M48" s="2"/>
      <c r="N48" s="2">
        <f t="shared" si="1"/>
        <v>0</v>
      </c>
      <c r="O48" s="2"/>
      <c r="P48" s="3"/>
      <c r="R48" s="7"/>
      <c r="S48" s="2"/>
      <c r="T48" s="15"/>
      <c r="U48" s="182"/>
      <c r="V48" s="182"/>
      <c r="W48" s="182"/>
      <c r="X48" s="182"/>
      <c r="Y48" s="182"/>
      <c r="Z48" s="183"/>
    </row>
    <row r="49" spans="1:26">
      <c r="A49" s="7"/>
      <c r="B49" s="2"/>
      <c r="C49" s="2"/>
      <c r="D49" s="2"/>
      <c r="E49" s="2"/>
      <c r="F49" s="2"/>
      <c r="G49" s="2"/>
      <c r="H49" s="2"/>
      <c r="I49" s="2"/>
      <c r="J49" s="2"/>
      <c r="K49" s="2">
        <f t="shared" si="0"/>
        <v>0</v>
      </c>
      <c r="L49" s="2"/>
      <c r="M49" s="2"/>
      <c r="N49" s="2">
        <f t="shared" si="1"/>
        <v>0</v>
      </c>
      <c r="O49" s="2"/>
      <c r="P49" s="3"/>
      <c r="R49" s="7"/>
      <c r="S49" s="2"/>
      <c r="T49" s="15"/>
      <c r="U49" s="182"/>
      <c r="V49" s="182"/>
      <c r="W49" s="182"/>
      <c r="X49" s="182"/>
      <c r="Y49" s="182"/>
      <c r="Z49" s="183"/>
    </row>
    <row r="50" spans="1:26">
      <c r="A50" s="7"/>
      <c r="B50" s="2"/>
      <c r="C50" s="2"/>
      <c r="D50" s="2"/>
      <c r="E50" s="2"/>
      <c r="F50" s="2"/>
      <c r="G50" s="2"/>
      <c r="H50" s="2"/>
      <c r="I50" s="2"/>
      <c r="J50" s="2"/>
      <c r="K50" s="2">
        <f t="shared" si="0"/>
        <v>0</v>
      </c>
      <c r="L50" s="2"/>
      <c r="M50" s="2"/>
      <c r="N50" s="2">
        <f t="shared" si="1"/>
        <v>0</v>
      </c>
      <c r="O50" s="2"/>
      <c r="P50" s="3"/>
      <c r="R50" s="7"/>
      <c r="S50" s="2"/>
      <c r="T50" s="15"/>
      <c r="U50" s="182"/>
      <c r="V50" s="182"/>
      <c r="W50" s="182"/>
      <c r="X50" s="182"/>
      <c r="Y50" s="182"/>
      <c r="Z50" s="183"/>
    </row>
    <row r="51" spans="1:26">
      <c r="A51" s="7"/>
      <c r="B51" s="2"/>
      <c r="C51" s="2"/>
      <c r="D51" s="2"/>
      <c r="E51" s="2"/>
      <c r="F51" s="2"/>
      <c r="G51" s="2"/>
      <c r="H51" s="2"/>
      <c r="I51" s="2"/>
      <c r="J51" s="2"/>
      <c r="K51" s="2">
        <f t="shared" si="0"/>
        <v>0</v>
      </c>
      <c r="L51" s="2"/>
      <c r="M51" s="2"/>
      <c r="N51" s="2">
        <f t="shared" si="1"/>
        <v>0</v>
      </c>
      <c r="O51" s="2"/>
      <c r="P51" s="3"/>
      <c r="R51" s="7"/>
      <c r="S51" s="2"/>
      <c r="T51" s="15"/>
      <c r="U51" s="182"/>
      <c r="V51" s="182"/>
      <c r="W51" s="182"/>
      <c r="X51" s="182"/>
      <c r="Y51" s="182"/>
      <c r="Z51" s="183"/>
    </row>
    <row r="52" spans="1:26">
      <c r="A52" s="7"/>
      <c r="B52" s="2"/>
      <c r="C52" s="2"/>
      <c r="D52" s="2"/>
      <c r="E52" s="2"/>
      <c r="F52" s="2"/>
      <c r="G52" s="2"/>
      <c r="H52" s="2"/>
      <c r="I52" s="2"/>
      <c r="J52" s="2"/>
      <c r="K52" s="2">
        <f t="shared" si="0"/>
        <v>0</v>
      </c>
      <c r="L52" s="2"/>
      <c r="M52" s="2"/>
      <c r="N52" s="2">
        <f t="shared" si="1"/>
        <v>0</v>
      </c>
      <c r="O52" s="2"/>
      <c r="P52" s="3"/>
      <c r="R52" s="7"/>
      <c r="S52" s="2"/>
      <c r="T52" s="15"/>
      <c r="U52" s="182"/>
      <c r="V52" s="182"/>
      <c r="W52" s="182"/>
      <c r="X52" s="182"/>
      <c r="Y52" s="182"/>
      <c r="Z52" s="183"/>
    </row>
    <row r="53" spans="1:26">
      <c r="A53" s="7"/>
      <c r="B53" s="2"/>
      <c r="C53" s="2"/>
      <c r="D53" s="2"/>
      <c r="E53" s="2"/>
      <c r="F53" s="2"/>
      <c r="G53" s="2"/>
      <c r="H53" s="2"/>
      <c r="I53" s="2"/>
      <c r="J53" s="2"/>
      <c r="K53" s="2">
        <f t="shared" si="0"/>
        <v>0</v>
      </c>
      <c r="L53" s="2"/>
      <c r="M53" s="2"/>
      <c r="N53" s="2">
        <f t="shared" si="1"/>
        <v>0</v>
      </c>
      <c r="O53" s="2"/>
      <c r="P53" s="3"/>
      <c r="R53" s="7"/>
      <c r="S53" s="2"/>
      <c r="T53" s="15"/>
      <c r="U53" s="182"/>
      <c r="V53" s="182"/>
      <c r="W53" s="182"/>
      <c r="X53" s="182"/>
      <c r="Y53" s="182"/>
      <c r="Z53" s="183"/>
    </row>
    <row r="54" spans="1:26">
      <c r="A54" s="7"/>
      <c r="B54" s="2"/>
      <c r="C54" s="2"/>
      <c r="D54" s="2"/>
      <c r="E54" s="2"/>
      <c r="F54" s="2"/>
      <c r="G54" s="2"/>
      <c r="H54" s="2"/>
      <c r="I54" s="2"/>
      <c r="J54" s="2"/>
      <c r="K54" s="2">
        <f t="shared" si="0"/>
        <v>0</v>
      </c>
      <c r="L54" s="2"/>
      <c r="M54" s="2"/>
      <c r="N54" s="2">
        <f t="shared" si="1"/>
        <v>0</v>
      </c>
      <c r="O54" s="2"/>
      <c r="P54" s="3"/>
      <c r="R54" s="7"/>
      <c r="S54" s="2"/>
      <c r="T54" s="15"/>
      <c r="U54" s="182"/>
      <c r="V54" s="182"/>
      <c r="W54" s="182"/>
      <c r="X54" s="182"/>
      <c r="Y54" s="182"/>
      <c r="Z54" s="183"/>
    </row>
    <row r="55" spans="1:26">
      <c r="A55" s="7"/>
      <c r="B55" s="2"/>
      <c r="C55" s="2"/>
      <c r="D55" s="2"/>
      <c r="E55" s="2"/>
      <c r="F55" s="2"/>
      <c r="G55" s="2"/>
      <c r="H55" s="2"/>
      <c r="I55" s="2"/>
      <c r="J55" s="2"/>
      <c r="K55" s="2">
        <f t="shared" si="0"/>
        <v>0</v>
      </c>
      <c r="L55" s="2"/>
      <c r="M55" s="2"/>
      <c r="N55" s="2">
        <f t="shared" si="1"/>
        <v>0</v>
      </c>
      <c r="O55" s="2"/>
      <c r="P55" s="3"/>
      <c r="R55" s="8"/>
      <c r="S55" s="9"/>
      <c r="T55" s="31"/>
      <c r="U55" s="184"/>
      <c r="V55" s="184"/>
      <c r="W55" s="184"/>
      <c r="X55" s="184"/>
      <c r="Y55" s="184"/>
      <c r="Z55" s="185"/>
    </row>
    <row r="56" spans="1:26">
      <c r="A56" s="7"/>
      <c r="B56" s="2"/>
      <c r="C56" s="2"/>
      <c r="D56" s="2"/>
      <c r="E56" s="2"/>
      <c r="F56" s="2"/>
      <c r="G56" s="2"/>
      <c r="H56" s="2"/>
      <c r="I56" s="2"/>
      <c r="J56" s="2"/>
      <c r="K56" s="2">
        <f t="shared" si="0"/>
        <v>0</v>
      </c>
      <c r="L56" s="2"/>
      <c r="M56" s="2"/>
      <c r="N56" s="2">
        <f t="shared" si="1"/>
        <v>0</v>
      </c>
      <c r="O56" s="2"/>
      <c r="P56" s="3"/>
    </row>
    <row r="57" spans="1:26">
      <c r="A57" s="7"/>
      <c r="B57" s="2"/>
      <c r="C57" s="2"/>
      <c r="D57" s="2"/>
      <c r="E57" s="2"/>
      <c r="F57" s="2"/>
      <c r="G57" s="2"/>
      <c r="H57" s="2"/>
      <c r="I57" s="2"/>
      <c r="J57" s="2"/>
      <c r="K57" s="2">
        <f t="shared" si="0"/>
        <v>0</v>
      </c>
      <c r="L57" s="2"/>
      <c r="M57" s="2"/>
      <c r="N57" s="2">
        <f t="shared" si="1"/>
        <v>0</v>
      </c>
      <c r="O57" s="2"/>
      <c r="P57" s="3"/>
      <c r="R57" s="186" t="s">
        <v>8</v>
      </c>
      <c r="S57" s="187"/>
      <c r="T57" s="187"/>
      <c r="U57" s="187"/>
      <c r="V57" s="187"/>
      <c r="W57" s="187"/>
      <c r="X57" s="187"/>
      <c r="Y57" s="187"/>
      <c r="Z57" s="188"/>
    </row>
    <row r="58" spans="1:26">
      <c r="A58" s="7"/>
      <c r="B58" s="2"/>
      <c r="C58" s="2"/>
      <c r="D58" s="2"/>
      <c r="E58" s="2"/>
      <c r="F58" s="2"/>
      <c r="G58" s="2"/>
      <c r="H58" s="2"/>
      <c r="I58" s="2"/>
      <c r="J58" s="2"/>
      <c r="K58" s="2">
        <f t="shared" si="0"/>
        <v>0</v>
      </c>
      <c r="L58" s="2"/>
      <c r="M58" s="2"/>
      <c r="N58" s="2">
        <f t="shared" si="1"/>
        <v>0</v>
      </c>
      <c r="O58" s="2"/>
      <c r="P58" s="3"/>
      <c r="R58" s="189"/>
      <c r="S58" s="190"/>
      <c r="T58" s="190"/>
      <c r="U58" s="190"/>
      <c r="V58" s="190"/>
      <c r="W58" s="190"/>
      <c r="X58" s="190"/>
      <c r="Y58" s="190"/>
      <c r="Z58" s="191"/>
    </row>
    <row r="59" spans="1:26">
      <c r="A59" s="7"/>
      <c r="B59" s="2"/>
      <c r="C59" s="2"/>
      <c r="D59" s="2"/>
      <c r="E59" s="2"/>
      <c r="F59" s="2"/>
      <c r="G59" s="2"/>
      <c r="H59" s="2"/>
      <c r="I59" s="2"/>
      <c r="J59" s="2"/>
      <c r="K59" s="2">
        <f t="shared" si="0"/>
        <v>0</v>
      </c>
      <c r="L59" s="2"/>
      <c r="M59" s="2"/>
      <c r="N59" s="2">
        <f t="shared" si="1"/>
        <v>0</v>
      </c>
      <c r="O59" s="2"/>
      <c r="P59" s="3"/>
      <c r="R59" s="189"/>
      <c r="S59" s="190"/>
      <c r="T59" s="190"/>
      <c r="U59" s="190"/>
      <c r="V59" s="190"/>
      <c r="W59" s="190"/>
      <c r="X59" s="190"/>
      <c r="Y59" s="190"/>
      <c r="Z59" s="191"/>
    </row>
    <row r="60" spans="1:26">
      <c r="A60" s="7"/>
      <c r="B60" s="2"/>
      <c r="C60" s="2"/>
      <c r="D60" s="2"/>
      <c r="E60" s="2"/>
      <c r="F60" s="2"/>
      <c r="G60" s="2"/>
      <c r="H60" s="2"/>
      <c r="I60" s="2"/>
      <c r="J60" s="2"/>
      <c r="K60" s="2">
        <f t="shared" si="0"/>
        <v>0</v>
      </c>
      <c r="L60" s="2"/>
      <c r="M60" s="2"/>
      <c r="N60" s="2">
        <f t="shared" si="1"/>
        <v>0</v>
      </c>
      <c r="O60" s="2"/>
      <c r="P60" s="3"/>
      <c r="R60" s="206"/>
      <c r="S60" s="109"/>
      <c r="T60" s="109"/>
      <c r="U60" s="109"/>
      <c r="V60" s="109"/>
      <c r="W60" s="109"/>
      <c r="X60" s="109"/>
      <c r="Y60" s="109"/>
      <c r="Z60" s="207"/>
    </row>
    <row r="61" spans="1:26">
      <c r="A61" s="7"/>
      <c r="B61" s="2"/>
      <c r="C61" s="2"/>
      <c r="D61" s="2"/>
      <c r="E61" s="2"/>
      <c r="F61" s="2"/>
      <c r="G61" s="2"/>
      <c r="H61" s="2"/>
      <c r="I61" s="2"/>
      <c r="J61" s="2"/>
      <c r="K61" s="2">
        <f t="shared" si="0"/>
        <v>0</v>
      </c>
      <c r="L61" s="2"/>
      <c r="M61" s="2"/>
      <c r="N61" s="2">
        <f t="shared" si="1"/>
        <v>0</v>
      </c>
      <c r="O61" s="2"/>
      <c r="P61" s="3"/>
      <c r="R61" s="206"/>
      <c r="S61" s="109"/>
      <c r="T61" s="109"/>
      <c r="U61" s="109"/>
      <c r="V61" s="109"/>
      <c r="W61" s="109"/>
      <c r="X61" s="109"/>
      <c r="Y61" s="109"/>
      <c r="Z61" s="207"/>
    </row>
    <row r="62" spans="1:26">
      <c r="A62" s="7"/>
      <c r="B62" s="2"/>
      <c r="C62" s="2"/>
      <c r="D62" s="2"/>
      <c r="E62" s="2"/>
      <c r="F62" s="2"/>
      <c r="G62" s="2"/>
      <c r="H62" s="2"/>
      <c r="I62" s="2"/>
      <c r="J62" s="2"/>
      <c r="K62" s="2">
        <f t="shared" si="0"/>
        <v>0</v>
      </c>
      <c r="L62" s="2"/>
      <c r="M62" s="2"/>
      <c r="N62" s="2">
        <f t="shared" si="1"/>
        <v>0</v>
      </c>
      <c r="O62" s="2"/>
      <c r="P62" s="3"/>
      <c r="R62" s="206"/>
      <c r="S62" s="109"/>
      <c r="T62" s="109"/>
      <c r="U62" s="109"/>
      <c r="V62" s="109"/>
      <c r="W62" s="109"/>
      <c r="X62" s="109"/>
      <c r="Y62" s="109"/>
      <c r="Z62" s="207"/>
    </row>
    <row r="63" spans="1:26">
      <c r="A63" s="7"/>
      <c r="B63" s="2"/>
      <c r="C63" s="2"/>
      <c r="D63" s="2"/>
      <c r="E63" s="2"/>
      <c r="F63" s="2"/>
      <c r="G63" s="2"/>
      <c r="H63" s="2"/>
      <c r="I63" s="2"/>
      <c r="J63" s="2"/>
      <c r="K63" s="2">
        <f t="shared" si="0"/>
        <v>0</v>
      </c>
      <c r="L63" s="2"/>
      <c r="M63" s="2"/>
      <c r="N63" s="2">
        <f t="shared" si="1"/>
        <v>0</v>
      </c>
      <c r="O63" s="2"/>
      <c r="P63" s="3"/>
      <c r="R63" s="206"/>
      <c r="S63" s="109"/>
      <c r="T63" s="109"/>
      <c r="U63" s="109"/>
      <c r="V63" s="109"/>
      <c r="W63" s="109"/>
      <c r="X63" s="109"/>
      <c r="Y63" s="109"/>
      <c r="Z63" s="207"/>
    </row>
    <row r="64" spans="1:26">
      <c r="A64" s="7"/>
      <c r="B64" s="2"/>
      <c r="C64" s="2"/>
      <c r="D64" s="2"/>
      <c r="E64" s="2"/>
      <c r="F64" s="2"/>
      <c r="G64" s="2"/>
      <c r="H64" s="2"/>
      <c r="I64" s="2"/>
      <c r="J64" s="2"/>
      <c r="K64" s="2">
        <f t="shared" si="0"/>
        <v>0</v>
      </c>
      <c r="L64" s="2"/>
      <c r="M64" s="2"/>
      <c r="N64" s="2">
        <f t="shared" si="1"/>
        <v>0</v>
      </c>
      <c r="O64" s="2"/>
      <c r="P64" s="3"/>
      <c r="R64" s="206"/>
      <c r="S64" s="109"/>
      <c r="T64" s="109"/>
      <c r="U64" s="109"/>
      <c r="V64" s="109"/>
      <c r="W64" s="109"/>
      <c r="X64" s="109"/>
      <c r="Y64" s="109"/>
      <c r="Z64" s="207"/>
    </row>
    <row r="65" spans="1:26">
      <c r="A65" s="7"/>
      <c r="B65" s="2"/>
      <c r="C65" s="2"/>
      <c r="D65" s="2"/>
      <c r="E65" s="2"/>
      <c r="F65" s="2"/>
      <c r="G65" s="2"/>
      <c r="H65" s="2"/>
      <c r="I65" s="2"/>
      <c r="J65" s="2"/>
      <c r="K65" s="2">
        <f t="shared" si="0"/>
        <v>0</v>
      </c>
      <c r="L65" s="2"/>
      <c r="M65" s="2"/>
      <c r="N65" s="2">
        <f t="shared" si="1"/>
        <v>0</v>
      </c>
      <c r="O65" s="2"/>
      <c r="P65" s="3"/>
      <c r="R65" s="206"/>
      <c r="S65" s="109"/>
      <c r="T65" s="109"/>
      <c r="U65" s="109"/>
      <c r="V65" s="109"/>
      <c r="W65" s="109"/>
      <c r="X65" s="109"/>
      <c r="Y65" s="109"/>
      <c r="Z65" s="207"/>
    </row>
    <row r="66" spans="1:26">
      <c r="A66" s="7"/>
      <c r="B66" s="2"/>
      <c r="C66" s="2"/>
      <c r="D66" s="2"/>
      <c r="E66" s="2"/>
      <c r="F66" s="2"/>
      <c r="G66" s="2"/>
      <c r="H66" s="2"/>
      <c r="I66" s="2"/>
      <c r="J66" s="2"/>
      <c r="K66" s="2">
        <f t="shared" si="0"/>
        <v>0</v>
      </c>
      <c r="L66" s="2"/>
      <c r="M66" s="2"/>
      <c r="N66" s="2">
        <f t="shared" si="1"/>
        <v>0</v>
      </c>
      <c r="O66" s="2"/>
      <c r="P66" s="3"/>
      <c r="R66" s="206"/>
      <c r="S66" s="109"/>
      <c r="T66" s="109"/>
      <c r="U66" s="109"/>
      <c r="V66" s="109"/>
      <c r="W66" s="109"/>
      <c r="X66" s="109"/>
      <c r="Y66" s="109"/>
      <c r="Z66" s="207"/>
    </row>
    <row r="67" spans="1:26">
      <c r="A67" s="7"/>
      <c r="B67" s="2"/>
      <c r="C67" s="2"/>
      <c r="D67" s="2"/>
      <c r="E67" s="2"/>
      <c r="F67" s="2"/>
      <c r="G67" s="2"/>
      <c r="H67" s="2"/>
      <c r="I67" s="2"/>
      <c r="J67" s="2"/>
      <c r="K67" s="2">
        <f t="shared" si="0"/>
        <v>0</v>
      </c>
      <c r="L67" s="2"/>
      <c r="M67" s="2"/>
      <c r="N67" s="2">
        <f t="shared" si="1"/>
        <v>0</v>
      </c>
      <c r="O67" s="2"/>
      <c r="P67" s="3"/>
      <c r="R67" s="206"/>
      <c r="S67" s="109"/>
      <c r="T67" s="109"/>
      <c r="U67" s="109"/>
      <c r="V67" s="109"/>
      <c r="W67" s="109"/>
      <c r="X67" s="109"/>
      <c r="Y67" s="109"/>
      <c r="Z67" s="207"/>
    </row>
    <row r="68" spans="1:26">
      <c r="A68" s="7"/>
      <c r="B68" s="2"/>
      <c r="C68" s="2"/>
      <c r="D68" s="2"/>
      <c r="E68" s="2"/>
      <c r="F68" s="2"/>
      <c r="G68" s="2"/>
      <c r="H68" s="2"/>
      <c r="I68" s="2"/>
      <c r="J68" s="2"/>
      <c r="K68" s="2">
        <f t="shared" si="0"/>
        <v>0</v>
      </c>
      <c r="L68" s="2"/>
      <c r="M68" s="2"/>
      <c r="N68" s="2">
        <f t="shared" si="1"/>
        <v>0</v>
      </c>
      <c r="O68" s="2"/>
      <c r="P68" s="3"/>
      <c r="R68" s="206"/>
      <c r="S68" s="109"/>
      <c r="T68" s="109"/>
      <c r="U68" s="109"/>
      <c r="V68" s="109"/>
      <c r="W68" s="109"/>
      <c r="X68" s="109"/>
      <c r="Y68" s="109"/>
      <c r="Z68" s="207"/>
    </row>
    <row r="69" spans="1:26">
      <c r="A69" s="7"/>
      <c r="B69" s="2"/>
      <c r="C69" s="2"/>
      <c r="D69" s="2"/>
      <c r="E69" s="2"/>
      <c r="F69" s="2"/>
      <c r="G69" s="2"/>
      <c r="H69" s="2"/>
      <c r="I69" s="2"/>
      <c r="J69" s="2"/>
      <c r="K69" s="2">
        <f t="shared" si="0"/>
        <v>0</v>
      </c>
      <c r="L69" s="2"/>
      <c r="M69" s="2"/>
      <c r="N69" s="2">
        <f t="shared" si="1"/>
        <v>0</v>
      </c>
      <c r="O69" s="2"/>
      <c r="P69" s="3"/>
      <c r="R69" s="206"/>
      <c r="S69" s="109"/>
      <c r="T69" s="109"/>
      <c r="U69" s="109"/>
      <c r="V69" s="109"/>
      <c r="W69" s="109"/>
      <c r="X69" s="109"/>
      <c r="Y69" s="109"/>
      <c r="Z69" s="207"/>
    </row>
    <row r="70" spans="1:26">
      <c r="A70" s="7"/>
      <c r="B70" s="2"/>
      <c r="C70" s="2"/>
      <c r="D70" s="2"/>
      <c r="E70" s="2"/>
      <c r="F70" s="2"/>
      <c r="G70" s="2"/>
      <c r="H70" s="2"/>
      <c r="I70" s="2"/>
      <c r="J70" s="2"/>
      <c r="K70" s="2">
        <f t="shared" si="0"/>
        <v>0</v>
      </c>
      <c r="L70" s="2"/>
      <c r="M70" s="2"/>
      <c r="N70" s="2">
        <f t="shared" si="1"/>
        <v>0</v>
      </c>
      <c r="O70" s="2"/>
      <c r="P70" s="3"/>
      <c r="R70" s="206"/>
      <c r="S70" s="109"/>
      <c r="T70" s="109"/>
      <c r="U70" s="109"/>
      <c r="V70" s="109"/>
      <c r="W70" s="109"/>
      <c r="X70" s="109"/>
      <c r="Y70" s="109"/>
      <c r="Z70" s="207"/>
    </row>
    <row r="71" spans="1:26">
      <c r="A71" s="7"/>
      <c r="B71" s="2"/>
      <c r="C71" s="2"/>
      <c r="D71" s="2"/>
      <c r="E71" s="2"/>
      <c r="F71" s="2"/>
      <c r="G71" s="2"/>
      <c r="H71" s="2"/>
      <c r="I71" s="2"/>
      <c r="J71" s="2"/>
      <c r="K71" s="2">
        <f t="shared" si="0"/>
        <v>0</v>
      </c>
      <c r="L71" s="2"/>
      <c r="M71" s="2"/>
      <c r="N71" s="2">
        <f t="shared" si="1"/>
        <v>0</v>
      </c>
      <c r="O71" s="2"/>
      <c r="P71" s="3"/>
      <c r="R71" s="206"/>
      <c r="S71" s="109"/>
      <c r="T71" s="109"/>
      <c r="U71" s="109"/>
      <c r="V71" s="109"/>
      <c r="W71" s="109"/>
      <c r="X71" s="109"/>
      <c r="Y71" s="109"/>
      <c r="Z71" s="207"/>
    </row>
    <row r="72" spans="1:26">
      <c r="A72" s="7"/>
      <c r="B72" s="2"/>
      <c r="C72" s="2"/>
      <c r="D72" s="2"/>
      <c r="E72" s="2"/>
      <c r="F72" s="2"/>
      <c r="G72" s="2"/>
      <c r="H72" s="2"/>
      <c r="I72" s="2"/>
      <c r="J72" s="2"/>
      <c r="K72" s="2">
        <f t="shared" ref="K72:K101" si="2">SUM(SUM(B72:F72)*360,SUM(G72:J72)*90)</f>
        <v>0</v>
      </c>
      <c r="L72" s="2"/>
      <c r="M72" s="2"/>
      <c r="N72" s="2">
        <f t="shared" si="1"/>
        <v>0</v>
      </c>
      <c r="O72" s="2"/>
      <c r="P72" s="3"/>
      <c r="R72" s="206"/>
      <c r="S72" s="109"/>
      <c r="T72" s="109"/>
      <c r="U72" s="109"/>
      <c r="V72" s="109"/>
      <c r="W72" s="109"/>
      <c r="X72" s="109"/>
      <c r="Y72" s="109"/>
      <c r="Z72" s="207"/>
    </row>
    <row r="73" spans="1:26">
      <c r="A73" s="7"/>
      <c r="B73" s="2"/>
      <c r="C73" s="2"/>
      <c r="D73" s="2"/>
      <c r="E73" s="2"/>
      <c r="F73" s="2"/>
      <c r="G73" s="2"/>
      <c r="H73" s="2"/>
      <c r="I73" s="2"/>
      <c r="J73" s="2"/>
      <c r="K73" s="2">
        <f t="shared" si="2"/>
        <v>0</v>
      </c>
      <c r="L73" s="2"/>
      <c r="M73" s="2"/>
      <c r="N73" s="2">
        <f t="shared" ref="N73:N101" si="3">K73+L73-M73</f>
        <v>0</v>
      </c>
      <c r="O73" s="2"/>
      <c r="P73" s="3"/>
      <c r="R73" s="206"/>
      <c r="S73" s="109"/>
      <c r="T73" s="109"/>
      <c r="U73" s="109"/>
      <c r="V73" s="109"/>
      <c r="W73" s="109"/>
      <c r="X73" s="109"/>
      <c r="Y73" s="109"/>
      <c r="Z73" s="207"/>
    </row>
    <row r="74" spans="1:26">
      <c r="A74" s="7"/>
      <c r="B74" s="2"/>
      <c r="C74" s="2"/>
      <c r="D74" s="2"/>
      <c r="E74" s="2"/>
      <c r="F74" s="2"/>
      <c r="G74" s="2"/>
      <c r="H74" s="2"/>
      <c r="I74" s="2"/>
      <c r="J74" s="2"/>
      <c r="K74" s="2">
        <f t="shared" si="2"/>
        <v>0</v>
      </c>
      <c r="L74" s="2"/>
      <c r="M74" s="2"/>
      <c r="N74" s="2">
        <f t="shared" si="3"/>
        <v>0</v>
      </c>
      <c r="O74" s="2"/>
      <c r="P74" s="3"/>
      <c r="R74" s="206"/>
      <c r="S74" s="109"/>
      <c r="T74" s="109"/>
      <c r="U74" s="109"/>
      <c r="V74" s="109"/>
      <c r="W74" s="109"/>
      <c r="X74" s="109"/>
      <c r="Y74" s="109"/>
      <c r="Z74" s="207"/>
    </row>
    <row r="75" spans="1:26">
      <c r="A75" s="7"/>
      <c r="B75" s="2"/>
      <c r="C75" s="2"/>
      <c r="D75" s="2"/>
      <c r="E75" s="2"/>
      <c r="F75" s="2"/>
      <c r="G75" s="2"/>
      <c r="H75" s="2"/>
      <c r="I75" s="2"/>
      <c r="J75" s="2"/>
      <c r="K75" s="2">
        <f t="shared" si="2"/>
        <v>0</v>
      </c>
      <c r="L75" s="2"/>
      <c r="M75" s="2"/>
      <c r="N75" s="2">
        <f t="shared" si="3"/>
        <v>0</v>
      </c>
      <c r="O75" s="2"/>
      <c r="P75" s="3"/>
      <c r="R75" s="206"/>
      <c r="S75" s="109"/>
      <c r="T75" s="109"/>
      <c r="U75" s="109"/>
      <c r="V75" s="109"/>
      <c r="W75" s="109"/>
      <c r="X75" s="109"/>
      <c r="Y75" s="109"/>
      <c r="Z75" s="207"/>
    </row>
    <row r="76" spans="1:26">
      <c r="A76" s="7"/>
      <c r="B76" s="2"/>
      <c r="C76" s="2"/>
      <c r="D76" s="2"/>
      <c r="E76" s="2"/>
      <c r="F76" s="2"/>
      <c r="G76" s="2"/>
      <c r="H76" s="2"/>
      <c r="I76" s="2"/>
      <c r="J76" s="2"/>
      <c r="K76" s="2">
        <f t="shared" si="2"/>
        <v>0</v>
      </c>
      <c r="L76" s="2"/>
      <c r="M76" s="2"/>
      <c r="N76" s="2">
        <f t="shared" si="3"/>
        <v>0</v>
      </c>
      <c r="O76" s="2"/>
      <c r="P76" s="3"/>
      <c r="R76" s="206"/>
      <c r="S76" s="109"/>
      <c r="T76" s="109"/>
      <c r="U76" s="109"/>
      <c r="V76" s="109"/>
      <c r="W76" s="109"/>
      <c r="X76" s="109"/>
      <c r="Y76" s="109"/>
      <c r="Z76" s="207"/>
    </row>
    <row r="77" spans="1:26">
      <c r="A77" s="7"/>
      <c r="B77" s="2"/>
      <c r="C77" s="2"/>
      <c r="D77" s="2"/>
      <c r="E77" s="2"/>
      <c r="F77" s="2"/>
      <c r="G77" s="2"/>
      <c r="H77" s="2"/>
      <c r="I77" s="2"/>
      <c r="J77" s="2"/>
      <c r="K77" s="2">
        <f t="shared" si="2"/>
        <v>0</v>
      </c>
      <c r="L77" s="2"/>
      <c r="M77" s="2"/>
      <c r="N77" s="2">
        <f t="shared" si="3"/>
        <v>0</v>
      </c>
      <c r="O77" s="2"/>
      <c r="P77" s="3"/>
      <c r="R77" s="206"/>
      <c r="S77" s="109"/>
      <c r="T77" s="109"/>
      <c r="U77" s="109"/>
      <c r="V77" s="109"/>
      <c r="W77" s="109"/>
      <c r="X77" s="109"/>
      <c r="Y77" s="109"/>
      <c r="Z77" s="207"/>
    </row>
    <row r="78" spans="1:26">
      <c r="A78" s="7"/>
      <c r="B78" s="2"/>
      <c r="C78" s="2"/>
      <c r="D78" s="2"/>
      <c r="E78" s="2"/>
      <c r="F78" s="2"/>
      <c r="G78" s="2"/>
      <c r="H78" s="2"/>
      <c r="I78" s="2"/>
      <c r="J78" s="2"/>
      <c r="K78" s="2">
        <f t="shared" si="2"/>
        <v>0</v>
      </c>
      <c r="L78" s="2"/>
      <c r="M78" s="2"/>
      <c r="N78" s="2">
        <f t="shared" si="3"/>
        <v>0</v>
      </c>
      <c r="O78" s="2"/>
      <c r="P78" s="3"/>
      <c r="R78" s="206"/>
      <c r="S78" s="109"/>
      <c r="T78" s="109"/>
      <c r="U78" s="109"/>
      <c r="V78" s="109"/>
      <c r="W78" s="109"/>
      <c r="X78" s="109"/>
      <c r="Y78" s="109"/>
      <c r="Z78" s="207"/>
    </row>
    <row r="79" spans="1:26">
      <c r="A79" s="7"/>
      <c r="B79" s="2"/>
      <c r="C79" s="2"/>
      <c r="D79" s="2"/>
      <c r="E79" s="2"/>
      <c r="F79" s="2"/>
      <c r="G79" s="2"/>
      <c r="H79" s="2"/>
      <c r="I79" s="2"/>
      <c r="J79" s="2"/>
      <c r="K79" s="2">
        <f t="shared" si="2"/>
        <v>0</v>
      </c>
      <c r="L79" s="2"/>
      <c r="M79" s="2"/>
      <c r="N79" s="2">
        <f t="shared" si="3"/>
        <v>0</v>
      </c>
      <c r="O79" s="2"/>
      <c r="P79" s="3"/>
      <c r="R79" s="206"/>
      <c r="S79" s="109"/>
      <c r="T79" s="109"/>
      <c r="U79" s="109"/>
      <c r="V79" s="109"/>
      <c r="W79" s="109"/>
      <c r="X79" s="109"/>
      <c r="Y79" s="109"/>
      <c r="Z79" s="207"/>
    </row>
    <row r="80" spans="1:26">
      <c r="A80" s="7"/>
      <c r="B80" s="2"/>
      <c r="C80" s="2"/>
      <c r="D80" s="2"/>
      <c r="E80" s="2"/>
      <c r="F80" s="2"/>
      <c r="G80" s="2"/>
      <c r="H80" s="2"/>
      <c r="I80" s="2"/>
      <c r="J80" s="2"/>
      <c r="K80" s="2">
        <f t="shared" si="2"/>
        <v>0</v>
      </c>
      <c r="L80" s="2"/>
      <c r="M80" s="2"/>
      <c r="N80" s="2">
        <f t="shared" si="3"/>
        <v>0</v>
      </c>
      <c r="O80" s="2"/>
      <c r="P80" s="3"/>
      <c r="R80" s="206"/>
      <c r="S80" s="109"/>
      <c r="T80" s="109"/>
      <c r="U80" s="109"/>
      <c r="V80" s="109"/>
      <c r="W80" s="109"/>
      <c r="X80" s="109"/>
      <c r="Y80" s="109"/>
      <c r="Z80" s="207"/>
    </row>
    <row r="81" spans="1:26">
      <c r="A81" s="7"/>
      <c r="B81" s="2"/>
      <c r="C81" s="2"/>
      <c r="D81" s="2"/>
      <c r="E81" s="2"/>
      <c r="F81" s="2"/>
      <c r="G81" s="2"/>
      <c r="H81" s="2"/>
      <c r="I81" s="2"/>
      <c r="J81" s="2"/>
      <c r="K81" s="2">
        <f t="shared" si="2"/>
        <v>0</v>
      </c>
      <c r="L81" s="2"/>
      <c r="M81" s="2"/>
      <c r="N81" s="2">
        <f t="shared" si="3"/>
        <v>0</v>
      </c>
      <c r="O81" s="2"/>
      <c r="P81" s="3"/>
      <c r="R81" s="206"/>
      <c r="S81" s="109"/>
      <c r="T81" s="109"/>
      <c r="U81" s="109"/>
      <c r="V81" s="109"/>
      <c r="W81" s="109"/>
      <c r="X81" s="109"/>
      <c r="Y81" s="109"/>
      <c r="Z81" s="207"/>
    </row>
    <row r="82" spans="1:26">
      <c r="A82" s="7"/>
      <c r="B82" s="2"/>
      <c r="C82" s="2"/>
      <c r="D82" s="2"/>
      <c r="E82" s="2"/>
      <c r="F82" s="2"/>
      <c r="G82" s="2"/>
      <c r="H82" s="2"/>
      <c r="I82" s="2"/>
      <c r="J82" s="2"/>
      <c r="K82" s="2">
        <f t="shared" si="2"/>
        <v>0</v>
      </c>
      <c r="L82" s="2"/>
      <c r="M82" s="2"/>
      <c r="N82" s="2">
        <f t="shared" si="3"/>
        <v>0</v>
      </c>
      <c r="O82" s="2"/>
      <c r="P82" s="3"/>
      <c r="R82" s="206"/>
      <c r="S82" s="109"/>
      <c r="T82" s="109"/>
      <c r="U82" s="109"/>
      <c r="V82" s="109"/>
      <c r="W82" s="109"/>
      <c r="X82" s="109"/>
      <c r="Y82" s="109"/>
      <c r="Z82" s="207"/>
    </row>
    <row r="83" spans="1:26">
      <c r="A83" s="7"/>
      <c r="B83" s="2"/>
      <c r="C83" s="2"/>
      <c r="D83" s="2"/>
      <c r="E83" s="2"/>
      <c r="F83" s="2"/>
      <c r="G83" s="2"/>
      <c r="H83" s="2"/>
      <c r="I83" s="2"/>
      <c r="J83" s="2"/>
      <c r="K83" s="2">
        <f t="shared" si="2"/>
        <v>0</v>
      </c>
      <c r="L83" s="2"/>
      <c r="M83" s="2"/>
      <c r="N83" s="2">
        <f t="shared" si="3"/>
        <v>0</v>
      </c>
      <c r="O83" s="2"/>
      <c r="P83" s="3"/>
      <c r="R83" s="206"/>
      <c r="S83" s="109"/>
      <c r="T83" s="109"/>
      <c r="U83" s="109"/>
      <c r="V83" s="109"/>
      <c r="W83" s="109"/>
      <c r="X83" s="109"/>
      <c r="Y83" s="109"/>
      <c r="Z83" s="207"/>
    </row>
    <row r="84" spans="1:26">
      <c r="A84" s="7"/>
      <c r="B84" s="2"/>
      <c r="C84" s="2"/>
      <c r="D84" s="2"/>
      <c r="E84" s="2"/>
      <c r="F84" s="2"/>
      <c r="G84" s="2"/>
      <c r="H84" s="2"/>
      <c r="I84" s="2"/>
      <c r="J84" s="2"/>
      <c r="K84" s="2">
        <f t="shared" si="2"/>
        <v>0</v>
      </c>
      <c r="L84" s="2"/>
      <c r="M84" s="2"/>
      <c r="N84" s="2">
        <f t="shared" si="3"/>
        <v>0</v>
      </c>
      <c r="O84" s="2"/>
      <c r="P84" s="3"/>
      <c r="R84" s="206"/>
      <c r="S84" s="109"/>
      <c r="T84" s="109"/>
      <c r="U84" s="109"/>
      <c r="V84" s="109"/>
      <c r="W84" s="109"/>
      <c r="X84" s="109"/>
      <c r="Y84" s="109"/>
      <c r="Z84" s="207"/>
    </row>
    <row r="85" spans="1:26">
      <c r="A85" s="7"/>
      <c r="B85" s="2"/>
      <c r="C85" s="2"/>
      <c r="D85" s="2"/>
      <c r="E85" s="2"/>
      <c r="F85" s="2"/>
      <c r="G85" s="2"/>
      <c r="H85" s="2"/>
      <c r="I85" s="2"/>
      <c r="J85" s="2"/>
      <c r="K85" s="2">
        <f t="shared" si="2"/>
        <v>0</v>
      </c>
      <c r="L85" s="2"/>
      <c r="M85" s="2"/>
      <c r="N85" s="2">
        <f t="shared" si="3"/>
        <v>0</v>
      </c>
      <c r="O85" s="2"/>
      <c r="P85" s="3"/>
      <c r="R85" s="206"/>
      <c r="S85" s="109"/>
      <c r="T85" s="109"/>
      <c r="U85" s="109"/>
      <c r="V85" s="109"/>
      <c r="W85" s="109"/>
      <c r="X85" s="109"/>
      <c r="Y85" s="109"/>
      <c r="Z85" s="207"/>
    </row>
    <row r="86" spans="1:26">
      <c r="A86" s="7"/>
      <c r="B86" s="2"/>
      <c r="C86" s="2"/>
      <c r="D86" s="2"/>
      <c r="E86" s="2"/>
      <c r="F86" s="2"/>
      <c r="G86" s="2"/>
      <c r="H86" s="2"/>
      <c r="I86" s="2"/>
      <c r="J86" s="2"/>
      <c r="K86" s="2">
        <f t="shared" si="2"/>
        <v>0</v>
      </c>
      <c r="L86" s="2"/>
      <c r="M86" s="2"/>
      <c r="N86" s="2">
        <f t="shared" si="3"/>
        <v>0</v>
      </c>
      <c r="O86" s="2"/>
      <c r="P86" s="3"/>
      <c r="R86" s="206"/>
      <c r="S86" s="109"/>
      <c r="T86" s="109"/>
      <c r="U86" s="109"/>
      <c r="V86" s="109"/>
      <c r="W86" s="109"/>
      <c r="X86" s="109"/>
      <c r="Y86" s="109"/>
      <c r="Z86" s="207"/>
    </row>
    <row r="87" spans="1:26">
      <c r="A87" s="7"/>
      <c r="B87" s="2"/>
      <c r="C87" s="2"/>
      <c r="D87" s="2"/>
      <c r="E87" s="2"/>
      <c r="F87" s="2"/>
      <c r="G87" s="2"/>
      <c r="H87" s="2"/>
      <c r="I87" s="2"/>
      <c r="J87" s="2"/>
      <c r="K87" s="2">
        <f t="shared" si="2"/>
        <v>0</v>
      </c>
      <c r="L87" s="2"/>
      <c r="M87" s="2"/>
      <c r="N87" s="2">
        <f t="shared" si="3"/>
        <v>0</v>
      </c>
      <c r="O87" s="2"/>
      <c r="P87" s="3"/>
      <c r="R87" s="206"/>
      <c r="S87" s="109"/>
      <c r="T87" s="109"/>
      <c r="U87" s="109"/>
      <c r="V87" s="109"/>
      <c r="W87" s="109"/>
      <c r="X87" s="109"/>
      <c r="Y87" s="109"/>
      <c r="Z87" s="207"/>
    </row>
    <row r="88" spans="1:26">
      <c r="A88" s="7"/>
      <c r="B88" s="2"/>
      <c r="C88" s="2"/>
      <c r="D88" s="2"/>
      <c r="E88" s="2"/>
      <c r="F88" s="2"/>
      <c r="G88" s="2"/>
      <c r="H88" s="2"/>
      <c r="I88" s="2"/>
      <c r="J88" s="2"/>
      <c r="K88" s="2">
        <f t="shared" si="2"/>
        <v>0</v>
      </c>
      <c r="L88" s="2"/>
      <c r="M88" s="2"/>
      <c r="N88" s="2">
        <f t="shared" si="3"/>
        <v>0</v>
      </c>
      <c r="O88" s="2"/>
      <c r="P88" s="3"/>
      <c r="R88" s="206"/>
      <c r="S88" s="109"/>
      <c r="T88" s="109"/>
      <c r="U88" s="109"/>
      <c r="V88" s="109"/>
      <c r="W88" s="109"/>
      <c r="X88" s="109"/>
      <c r="Y88" s="109"/>
      <c r="Z88" s="207"/>
    </row>
    <row r="89" spans="1:26">
      <c r="A89" s="7"/>
      <c r="B89" s="2"/>
      <c r="C89" s="2"/>
      <c r="D89" s="2"/>
      <c r="E89" s="2"/>
      <c r="F89" s="2"/>
      <c r="G89" s="2"/>
      <c r="H89" s="2"/>
      <c r="I89" s="2"/>
      <c r="J89" s="2"/>
      <c r="K89" s="2">
        <f t="shared" si="2"/>
        <v>0</v>
      </c>
      <c r="L89" s="2"/>
      <c r="M89" s="2"/>
      <c r="N89" s="2">
        <f t="shared" si="3"/>
        <v>0</v>
      </c>
      <c r="O89" s="2"/>
      <c r="P89" s="3"/>
      <c r="R89" s="206"/>
      <c r="S89" s="109"/>
      <c r="T89" s="109"/>
      <c r="U89" s="109"/>
      <c r="V89" s="109"/>
      <c r="W89" s="109"/>
      <c r="X89" s="109"/>
      <c r="Y89" s="109"/>
      <c r="Z89" s="207"/>
    </row>
    <row r="90" spans="1:26">
      <c r="A90" s="7"/>
      <c r="B90" s="2"/>
      <c r="C90" s="2"/>
      <c r="D90" s="2"/>
      <c r="E90" s="2"/>
      <c r="F90" s="2"/>
      <c r="G90" s="2"/>
      <c r="H90" s="2"/>
      <c r="I90" s="2"/>
      <c r="J90" s="2"/>
      <c r="K90" s="2">
        <f t="shared" si="2"/>
        <v>0</v>
      </c>
      <c r="L90" s="2"/>
      <c r="M90" s="2"/>
      <c r="N90" s="2">
        <f t="shared" si="3"/>
        <v>0</v>
      </c>
      <c r="O90" s="2"/>
      <c r="P90" s="3"/>
      <c r="R90" s="206"/>
      <c r="S90" s="109"/>
      <c r="T90" s="109"/>
      <c r="U90" s="109"/>
      <c r="V90" s="109"/>
      <c r="W90" s="109"/>
      <c r="X90" s="109"/>
      <c r="Y90" s="109"/>
      <c r="Z90" s="207"/>
    </row>
    <row r="91" spans="1:26">
      <c r="A91" s="7"/>
      <c r="B91" s="2"/>
      <c r="C91" s="2"/>
      <c r="D91" s="2"/>
      <c r="E91" s="2"/>
      <c r="F91" s="2"/>
      <c r="G91" s="2"/>
      <c r="H91" s="2"/>
      <c r="I91" s="2"/>
      <c r="J91" s="2"/>
      <c r="K91" s="2">
        <f t="shared" si="2"/>
        <v>0</v>
      </c>
      <c r="L91" s="2"/>
      <c r="M91" s="2"/>
      <c r="N91" s="2">
        <f t="shared" si="3"/>
        <v>0</v>
      </c>
      <c r="O91" s="2"/>
      <c r="P91" s="3"/>
      <c r="R91" s="206"/>
      <c r="S91" s="109"/>
      <c r="T91" s="109"/>
      <c r="U91" s="109"/>
      <c r="V91" s="109"/>
      <c r="W91" s="109"/>
      <c r="X91" s="109"/>
      <c r="Y91" s="109"/>
      <c r="Z91" s="207"/>
    </row>
    <row r="92" spans="1:26">
      <c r="A92" s="7"/>
      <c r="B92" s="2"/>
      <c r="C92" s="2"/>
      <c r="D92" s="2"/>
      <c r="E92" s="2"/>
      <c r="F92" s="2"/>
      <c r="G92" s="2"/>
      <c r="H92" s="2"/>
      <c r="I92" s="2"/>
      <c r="J92" s="2"/>
      <c r="K92" s="2">
        <f t="shared" si="2"/>
        <v>0</v>
      </c>
      <c r="L92" s="2"/>
      <c r="M92" s="2"/>
      <c r="N92" s="2">
        <f t="shared" si="3"/>
        <v>0</v>
      </c>
      <c r="O92" s="2"/>
      <c r="P92" s="3"/>
      <c r="R92" s="206"/>
      <c r="S92" s="109"/>
      <c r="T92" s="109"/>
      <c r="U92" s="109"/>
      <c r="V92" s="109"/>
      <c r="W92" s="109"/>
      <c r="X92" s="109"/>
      <c r="Y92" s="109"/>
      <c r="Z92" s="207"/>
    </row>
    <row r="93" spans="1:26">
      <c r="A93" s="7"/>
      <c r="B93" s="2"/>
      <c r="C93" s="2"/>
      <c r="D93" s="2"/>
      <c r="E93" s="2"/>
      <c r="F93" s="2"/>
      <c r="G93" s="2"/>
      <c r="H93" s="2"/>
      <c r="I93" s="2"/>
      <c r="J93" s="2"/>
      <c r="K93" s="2">
        <f t="shared" si="2"/>
        <v>0</v>
      </c>
      <c r="L93" s="2"/>
      <c r="M93" s="2"/>
      <c r="N93" s="2">
        <f t="shared" si="3"/>
        <v>0</v>
      </c>
      <c r="O93" s="2"/>
      <c r="P93" s="3"/>
      <c r="R93" s="206"/>
      <c r="S93" s="109"/>
      <c r="T93" s="109"/>
      <c r="U93" s="109"/>
      <c r="V93" s="109"/>
      <c r="W93" s="109"/>
      <c r="X93" s="109"/>
      <c r="Y93" s="109"/>
      <c r="Z93" s="207"/>
    </row>
    <row r="94" spans="1:26">
      <c r="A94" s="7"/>
      <c r="B94" s="2"/>
      <c r="C94" s="2"/>
      <c r="D94" s="2"/>
      <c r="E94" s="2"/>
      <c r="F94" s="2"/>
      <c r="G94" s="2"/>
      <c r="H94" s="2"/>
      <c r="I94" s="2"/>
      <c r="J94" s="2"/>
      <c r="K94" s="2">
        <f t="shared" si="2"/>
        <v>0</v>
      </c>
      <c r="L94" s="2"/>
      <c r="M94" s="2"/>
      <c r="N94" s="2">
        <f t="shared" si="3"/>
        <v>0</v>
      </c>
      <c r="O94" s="2"/>
      <c r="P94" s="3"/>
      <c r="R94" s="206"/>
      <c r="S94" s="109"/>
      <c r="T94" s="109"/>
      <c r="U94" s="109"/>
      <c r="V94" s="109"/>
      <c r="W94" s="109"/>
      <c r="X94" s="109"/>
      <c r="Y94" s="109"/>
      <c r="Z94" s="207"/>
    </row>
    <row r="95" spans="1:26">
      <c r="A95" s="7"/>
      <c r="B95" s="2"/>
      <c r="C95" s="2"/>
      <c r="D95" s="2"/>
      <c r="E95" s="2"/>
      <c r="F95" s="2"/>
      <c r="G95" s="2"/>
      <c r="H95" s="2"/>
      <c r="I95" s="2"/>
      <c r="J95" s="2"/>
      <c r="K95" s="2">
        <f t="shared" si="2"/>
        <v>0</v>
      </c>
      <c r="L95" s="2"/>
      <c r="M95" s="2"/>
      <c r="N95" s="2">
        <f t="shared" si="3"/>
        <v>0</v>
      </c>
      <c r="O95" s="2"/>
      <c r="P95" s="3"/>
      <c r="R95" s="206"/>
      <c r="S95" s="109"/>
      <c r="T95" s="109"/>
      <c r="U95" s="109"/>
      <c r="V95" s="109"/>
      <c r="W95" s="109"/>
      <c r="X95" s="109"/>
      <c r="Y95" s="109"/>
      <c r="Z95" s="207"/>
    </row>
    <row r="96" spans="1:26">
      <c r="A96" s="7"/>
      <c r="B96" s="2"/>
      <c r="C96" s="2"/>
      <c r="D96" s="2"/>
      <c r="E96" s="2"/>
      <c r="F96" s="2"/>
      <c r="G96" s="2"/>
      <c r="H96" s="2"/>
      <c r="I96" s="2"/>
      <c r="J96" s="2"/>
      <c r="K96" s="2">
        <f t="shared" si="2"/>
        <v>0</v>
      </c>
      <c r="L96" s="2"/>
      <c r="M96" s="2"/>
      <c r="N96" s="2">
        <f t="shared" si="3"/>
        <v>0</v>
      </c>
      <c r="O96" s="2"/>
      <c r="P96" s="3"/>
      <c r="R96" s="206"/>
      <c r="S96" s="109"/>
      <c r="T96" s="109"/>
      <c r="U96" s="109"/>
      <c r="V96" s="109"/>
      <c r="W96" s="109"/>
      <c r="X96" s="109"/>
      <c r="Y96" s="109"/>
      <c r="Z96" s="207"/>
    </row>
    <row r="97" spans="1:26">
      <c r="A97" s="7"/>
      <c r="B97" s="2"/>
      <c r="C97" s="2"/>
      <c r="D97" s="2"/>
      <c r="E97" s="2"/>
      <c r="F97" s="2"/>
      <c r="G97" s="2"/>
      <c r="H97" s="2"/>
      <c r="I97" s="2"/>
      <c r="J97" s="2"/>
      <c r="K97" s="2">
        <f t="shared" si="2"/>
        <v>0</v>
      </c>
      <c r="L97" s="2"/>
      <c r="M97" s="2"/>
      <c r="N97" s="2">
        <f t="shared" si="3"/>
        <v>0</v>
      </c>
      <c r="O97" s="2"/>
      <c r="P97" s="3"/>
      <c r="R97" s="206"/>
      <c r="S97" s="109"/>
      <c r="T97" s="109"/>
      <c r="U97" s="109"/>
      <c r="V97" s="109"/>
      <c r="W97" s="109"/>
      <c r="X97" s="109"/>
      <c r="Y97" s="109"/>
      <c r="Z97" s="207"/>
    </row>
    <row r="98" spans="1:26">
      <c r="A98" s="7"/>
      <c r="B98" s="2"/>
      <c r="C98" s="2"/>
      <c r="D98" s="2"/>
      <c r="E98" s="2"/>
      <c r="F98" s="2"/>
      <c r="G98" s="2"/>
      <c r="H98" s="2"/>
      <c r="I98" s="2"/>
      <c r="J98" s="2"/>
      <c r="K98" s="2">
        <f t="shared" si="2"/>
        <v>0</v>
      </c>
      <c r="L98" s="2"/>
      <c r="M98" s="2"/>
      <c r="N98" s="2">
        <f t="shared" si="3"/>
        <v>0</v>
      </c>
      <c r="O98" s="2"/>
      <c r="P98" s="3"/>
      <c r="R98" s="206"/>
      <c r="S98" s="109"/>
      <c r="T98" s="109"/>
      <c r="U98" s="109"/>
      <c r="V98" s="109"/>
      <c r="W98" s="109"/>
      <c r="X98" s="109"/>
      <c r="Y98" s="109"/>
      <c r="Z98" s="207"/>
    </row>
    <row r="99" spans="1:26">
      <c r="A99" s="7"/>
      <c r="B99" s="2"/>
      <c r="C99" s="2"/>
      <c r="D99" s="2"/>
      <c r="E99" s="2"/>
      <c r="F99" s="2"/>
      <c r="G99" s="2"/>
      <c r="H99" s="2"/>
      <c r="I99" s="2"/>
      <c r="J99" s="2"/>
      <c r="K99" s="2">
        <f t="shared" si="2"/>
        <v>0</v>
      </c>
      <c r="L99" s="2"/>
      <c r="M99" s="2"/>
      <c r="N99" s="2">
        <f t="shared" si="3"/>
        <v>0</v>
      </c>
      <c r="O99" s="2"/>
      <c r="P99" s="3"/>
      <c r="R99" s="206"/>
      <c r="S99" s="109"/>
      <c r="T99" s="109"/>
      <c r="U99" s="109"/>
      <c r="V99" s="109"/>
      <c r="W99" s="109"/>
      <c r="X99" s="109"/>
      <c r="Y99" s="109"/>
      <c r="Z99" s="207"/>
    </row>
    <row r="100" spans="1:26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>
        <f t="shared" si="2"/>
        <v>0</v>
      </c>
      <c r="L100" s="9"/>
      <c r="M100" s="9"/>
      <c r="N100" s="9">
        <f t="shared" si="3"/>
        <v>0</v>
      </c>
      <c r="O100" s="9"/>
      <c r="P100" s="4"/>
      <c r="R100" s="208"/>
      <c r="S100" s="110"/>
      <c r="T100" s="110"/>
      <c r="U100" s="110"/>
      <c r="V100" s="110"/>
      <c r="W100" s="110"/>
      <c r="X100" s="110"/>
      <c r="Y100" s="110"/>
      <c r="Z100" s="209"/>
    </row>
    <row r="101" spans="1:26">
      <c r="K101">
        <f t="shared" si="2"/>
        <v>0</v>
      </c>
      <c r="N101">
        <f t="shared" si="3"/>
        <v>0</v>
      </c>
    </row>
  </sheetData>
  <mergeCells count="60">
    <mergeCell ref="A1:Z3"/>
    <mergeCell ref="A5:P5"/>
    <mergeCell ref="R5:Z7"/>
    <mergeCell ref="B6:F6"/>
    <mergeCell ref="G6:J6"/>
    <mergeCell ref="K6:P6"/>
    <mergeCell ref="R19:R23"/>
    <mergeCell ref="V20:V23"/>
    <mergeCell ref="R24:R27"/>
    <mergeCell ref="R8:V8"/>
    <mergeCell ref="X16:Z16"/>
    <mergeCell ref="R9:S9"/>
    <mergeCell ref="U9:V9"/>
    <mergeCell ref="Y17:Z17"/>
    <mergeCell ref="R10:S10"/>
    <mergeCell ref="U10:V10"/>
    <mergeCell ref="R11:S11"/>
    <mergeCell ref="U11:V11"/>
    <mergeCell ref="R12:S15"/>
    <mergeCell ref="T12:U12"/>
    <mergeCell ref="U45:Z45"/>
    <mergeCell ref="W33:X33"/>
    <mergeCell ref="W34:X34"/>
    <mergeCell ref="W35:X35"/>
    <mergeCell ref="W36:X36"/>
    <mergeCell ref="W37:X37"/>
    <mergeCell ref="R38:Z39"/>
    <mergeCell ref="U40:Z40"/>
    <mergeCell ref="U41:Z41"/>
    <mergeCell ref="U42:Z42"/>
    <mergeCell ref="U43:Z43"/>
    <mergeCell ref="U44:Z44"/>
    <mergeCell ref="R60:Z100"/>
    <mergeCell ref="U46:Z46"/>
    <mergeCell ref="U47:Z47"/>
    <mergeCell ref="U48:Z48"/>
    <mergeCell ref="U49:Z49"/>
    <mergeCell ref="U50:Z50"/>
    <mergeCell ref="U51:Z51"/>
    <mergeCell ref="U52:Z52"/>
    <mergeCell ref="U53:Z53"/>
    <mergeCell ref="U54:Z54"/>
    <mergeCell ref="U55:Z55"/>
    <mergeCell ref="R57:Z59"/>
    <mergeCell ref="AB30:AC30"/>
    <mergeCell ref="AB38:AC38"/>
    <mergeCell ref="X22:Z22"/>
    <mergeCell ref="X8:Z8"/>
    <mergeCell ref="Y9:Z9"/>
    <mergeCell ref="Y10:Z10"/>
    <mergeCell ref="Y11:Z11"/>
    <mergeCell ref="X12:X13"/>
    <mergeCell ref="Y12:Z13"/>
    <mergeCell ref="W32:X32"/>
    <mergeCell ref="Y19:Z19"/>
    <mergeCell ref="R30:Z31"/>
    <mergeCell ref="Y20:Z20"/>
    <mergeCell ref="Y21:Z21"/>
    <mergeCell ref="Y18:Z18"/>
    <mergeCell ref="R17:V17"/>
  </mergeCells>
  <phoneticPr fontId="2" type="noConversion"/>
  <dataValidations count="3">
    <dataValidation type="list" allowBlank="1" showInputMessage="1" showErrorMessage="1" sqref="T41:T55" xr:uid="{CFD511E0-FFBD-1E4F-86DF-255DFFA8047E}">
      <formula1>"技術,人為,過期,吃掉"</formula1>
    </dataValidation>
    <dataValidation type="list" allowBlank="1" showInputMessage="1" showErrorMessage="1" sqref="R41:R55" xr:uid="{16267A5F-62D7-0B4D-8847-B775C3724FB2}">
      <formula1>$R$33:$R$36</formula1>
    </dataValidation>
    <dataValidation type="list" allowBlank="1" showInputMessage="1" showErrorMessage="1" sqref="O8:O101" xr:uid="{C5E34CE5-EBBB-EF4B-8AB7-E93B71CD807B}">
      <formula1>$T$13:$T$15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具名範圍</vt:lpstr>
      </vt:variant>
      <vt:variant>
        <vt:i4>1</vt:i4>
      </vt:variant>
    </vt:vector>
  </HeadingPairs>
  <TitlesOfParts>
    <vt:vector size="33" baseType="lpstr">
      <vt:lpstr>月報表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日期清單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2026-04-01T09:42:08Z</dcterms:created>
  <dcterms:modified xsi:type="dcterms:W3CDTF">2026-04-12T11:09:48Z</dcterms:modified>
</cp:coreProperties>
</file>